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ution Finale" sheetId="1" state="visible" r:id="rId1"/>
    <sheet name="DOSSIER_TECHNIQUE" sheetId="2" state="visible" r:id="rId2"/>
    <sheet name="Solution_1 (original)" sheetId="3" state="visible" r:id="rId3"/>
    <sheet name="Glossaire_P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0"/>
    <numFmt numFmtId="165" formatCode="#,##0&quot; m&quot;"/>
    <numFmt numFmtId="166" formatCode="#,##0.0&quot; m&quot;"/>
    <numFmt numFmtId="167" formatCode="#,##0&quot; €&quot;"/>
    <numFmt numFmtId="168" formatCode="#,##0&quot; €/an&quot;"/>
  </numFmts>
  <fonts count="43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color rgb="00A8C8E8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0C2340"/>
      <sz val="10"/>
    </font>
    <font>
      <name val="Calibri"/>
      <b val="1"/>
      <color rgb="0015803D"/>
      <sz val="10"/>
    </font>
    <font>
      <name val="Calibri"/>
      <b val="1"/>
      <color rgb="001D64A8"/>
      <sz val="10"/>
    </font>
    <font>
      <name val="Calibri"/>
      <color rgb="005B6B82"/>
      <sz val="9"/>
    </font>
    <font>
      <name val="Calibri"/>
      <color rgb="001D64A8"/>
      <sz val="9"/>
    </font>
    <font>
      <name val="Calibri"/>
      <color rgb="0015803D"/>
      <sz val="9"/>
    </font>
    <font>
      <name val="Calibri"/>
      <b val="1"/>
      <color rgb="000C2340"/>
      <sz val="11"/>
    </font>
    <font>
      <name val="Calibri"/>
      <color rgb="0030435C"/>
      <sz val="10"/>
    </font>
    <font>
      <name val="Calibri"/>
      <color rgb="0092400E"/>
      <sz val="9"/>
    </font>
    <font>
      <name val="Calibri"/>
      <family val="2"/>
      <b val="1"/>
      <color rgb="FFFFFFFF"/>
      <sz val="13"/>
    </font>
    <font>
      <name val="Calibri"/>
      <family val="2"/>
      <b val="1"/>
      <color rgb="FFFFFFFF"/>
      <sz val="9"/>
    </font>
    <font>
      <name val="Calibri"/>
      <family val="2"/>
      <b val="1"/>
      <color rgb="FFFFFFFF"/>
      <sz val="10"/>
    </font>
    <font>
      <name val="Calibri"/>
      <family val="2"/>
      <b val="1"/>
      <color rgb="FF1A2535"/>
      <sz val="9"/>
    </font>
    <font>
      <name val="Calibri"/>
      <family val="2"/>
      <color rgb="FF6B84A0"/>
      <sz val="9"/>
    </font>
    <font>
      <name val="Calibri"/>
      <family val="2"/>
      <b val="1"/>
      <color rgb="FFB91C1C"/>
      <sz val="9"/>
    </font>
    <font>
      <name val="Calibri"/>
      <family val="2"/>
      <b val="1"/>
      <color rgb="FF15803D"/>
      <sz val="9"/>
    </font>
    <font>
      <name val="Calibri"/>
      <family val="2"/>
      <b val="1"/>
      <color rgb="FF1D64A8"/>
      <sz val="9"/>
    </font>
    <font>
      <name val="Calibri"/>
      <family val="2"/>
      <i val="1"/>
      <color rgb="FF6B84A0"/>
      <sz val="8"/>
    </font>
    <font>
      <name val="Calibri"/>
      <charset val="1"/>
      <family val="2"/>
      <color theme="1"/>
      <sz val="11"/>
    </font>
    <font>
      <name val="Calibri"/>
      <family val="2"/>
      <color rgb="FF3D526B"/>
      <sz val="9"/>
    </font>
    <font>
      <name val="Calibri"/>
      <family val="2"/>
      <color rgb="FF1A2535"/>
      <sz val="9"/>
    </font>
    <font>
      <name val="Calibri"/>
      <family val="2"/>
      <b val="1"/>
      <color rgb="FF0C2340"/>
      <sz val="10"/>
    </font>
    <font>
      <name val="Calibri"/>
      <family val="2"/>
      <b val="1"/>
      <color rgb="FF0C2340"/>
      <sz val="11"/>
    </font>
    <font>
      <name val="Calibri"/>
      <family val="2"/>
      <b val="1"/>
      <color rgb="FF0C2340"/>
      <sz val="12"/>
    </font>
    <font>
      <name val="Calibri"/>
      <family val="2"/>
      <color rgb="FF3D526B"/>
      <sz val="8"/>
    </font>
    <font>
      <name val="Calibri"/>
      <family val="2"/>
      <color rgb="FF6B84A0"/>
      <sz val="8"/>
    </font>
    <font>
      <name val="Calibri"/>
      <family val="2"/>
      <b val="1"/>
      <color rgb="FF1D64A8"/>
      <sz val="10"/>
    </font>
    <font>
      <name val="Calibri"/>
      <family val="2"/>
      <color rgb="FF92400E"/>
      <sz val="8"/>
    </font>
    <font>
      <name val="Calibri"/>
      <charset val="1"/>
      <family val="2"/>
      <color theme="10"/>
      <sz val="11"/>
      <u val="single"/>
    </font>
    <font>
      <name val="Calibri"/>
      <family val="2"/>
      <b val="1"/>
      <color rgb="FF0C2340"/>
      <sz val="9"/>
    </font>
    <font>
      <name val="Calibri"/>
      <family val="2"/>
      <b val="1"/>
      <color rgb="FF15803D"/>
      <sz val="12"/>
    </font>
    <font>
      <name val="Calibri"/>
      <family val="2"/>
      <b val="1"/>
      <color rgb="FF15803D"/>
      <sz val="14"/>
    </font>
    <font>
      <name val="Calibri"/>
      <family val="2"/>
      <b val="1"/>
      <color rgb="FF15803D"/>
      <sz val="10"/>
    </font>
    <font>
      <name val="Calibri"/>
      <family val="2"/>
      <b val="1"/>
      <color rgb="FFFFFFFF"/>
      <sz val="12"/>
    </font>
    <font>
      <name val="Calibri"/>
      <family val="2"/>
      <color rgb="FF15803D"/>
      <sz val="9"/>
    </font>
    <font>
      <name val="Calibri"/>
      <family val="2"/>
      <color rgb="FF92400E"/>
      <sz val="9"/>
    </font>
    <font>
      <name val="Calibri"/>
      <family val="2"/>
      <i val="1"/>
      <color rgb="FF1155CC"/>
      <sz val="8"/>
      <u val="single"/>
    </font>
    <font>
      <name val="Calibri"/>
      <family val="2"/>
      <i val="1"/>
      <color rgb="FF92400E"/>
      <sz val="8"/>
    </font>
  </fonts>
  <fills count="27">
    <fill>
      <patternFill/>
    </fill>
    <fill>
      <patternFill patternType="gray125"/>
    </fill>
    <fill>
      <patternFill patternType="solid">
        <fgColor rgb="000C2340"/>
      </patternFill>
    </fill>
    <fill>
      <patternFill patternType="solid">
        <fgColor rgb="001A3A5C"/>
      </patternFill>
    </fill>
    <fill>
      <patternFill patternType="solid">
        <fgColor rgb="00F3F8FD"/>
      </patternFill>
    </fill>
    <fill>
      <patternFill patternType="solid">
        <fgColor rgb="00DCFCE7"/>
      </patternFill>
    </fill>
    <fill>
      <patternFill patternType="solid">
        <fgColor rgb="00FFFFFF"/>
      </patternFill>
    </fill>
    <fill>
      <patternFill patternType="solid">
        <fgColor rgb="00F0F7FF"/>
      </patternFill>
    </fill>
    <fill>
      <patternFill patternType="solid">
        <fgColor rgb="00FEF3C7"/>
      </patternFill>
    </fill>
    <fill>
      <patternFill patternType="solid">
        <fgColor rgb="FF0C2340"/>
        <bgColor rgb="FF1A2535"/>
      </patternFill>
    </fill>
    <fill>
      <patternFill patternType="solid">
        <fgColor rgb="FF1A3A5C"/>
        <bgColor rgb="FF1E4D6B"/>
      </patternFill>
    </fill>
    <fill>
      <patternFill patternType="solid">
        <fgColor rgb="FFF3F8FD"/>
        <bgColor rgb="FFF0F7FF"/>
      </patternFill>
    </fill>
    <fill>
      <patternFill patternType="solid">
        <fgColor rgb="FFFEE2E2"/>
        <bgColor rgb="FFFEF3C7"/>
      </patternFill>
    </fill>
    <fill>
      <patternFill patternType="solid">
        <fgColor rgb="FFDCFCE7"/>
        <bgColor rgb="FFE6F4EA"/>
      </patternFill>
    </fill>
    <fill>
      <patternFill patternType="solid">
        <fgColor rgb="FFFFFFFF"/>
        <bgColor rgb="FFF7FAFD"/>
      </patternFill>
    </fill>
    <fill>
      <patternFill patternType="solid">
        <fgColor rgb="FFE63946"/>
        <bgColor rgb="FFB91C1C"/>
      </patternFill>
    </fill>
    <fill>
      <patternFill patternType="solid">
        <fgColor rgb="FF457B9D"/>
        <bgColor rgb="FF6B84A0"/>
      </patternFill>
    </fill>
    <fill>
      <patternFill patternType="solid">
        <fgColor rgb="FF2A9D8F"/>
        <bgColor rgb="FF457B9D"/>
      </patternFill>
    </fill>
    <fill>
      <patternFill patternType="solid">
        <fgColor rgb="FFF4A261"/>
        <bgColor rgb="FFFF9900"/>
      </patternFill>
    </fill>
    <fill>
      <patternFill patternType="solid">
        <fgColor rgb="FF6A0572"/>
        <bgColor rgb="FF800080"/>
      </patternFill>
    </fill>
    <fill>
      <patternFill patternType="solid">
        <fgColor rgb="FFFFF9C4"/>
        <bgColor rgb="FFFEF3C7"/>
      </patternFill>
    </fill>
    <fill>
      <patternFill patternType="solid">
        <fgColor rgb="FFF3F8FD"/>
        <bgColor rgb="FFF7FAFD"/>
      </patternFill>
    </fill>
    <fill>
      <patternFill patternType="solid">
        <fgColor rgb="FFE6F4EA"/>
        <bgColor rgb="FFEBF4FF"/>
      </patternFill>
    </fill>
    <fill>
      <patternFill patternType="solid">
        <fgColor rgb="FFF7FAFD"/>
        <bgColor rgb="FFF3F8FD"/>
      </patternFill>
    </fill>
    <fill>
      <patternFill patternType="solid">
        <fgColor rgb="FF1A3A5C"/>
        <bgColor rgb="FF1A2535"/>
      </patternFill>
    </fill>
    <fill>
      <patternFill patternType="solid">
        <fgColor rgb="FFDBEEFF"/>
        <bgColor rgb="FFE6F4EA"/>
      </patternFill>
    </fill>
    <fill>
      <patternFill patternType="solid">
        <fgColor rgb="FFFEF3C7"/>
        <bgColor rgb="FFFFF9C4"/>
      </patternFill>
    </fill>
  </fills>
  <borders count="19">
    <border>
      <left/>
      <right/>
      <top/>
      <bottom/>
      <diagonal/>
    </border>
    <border>
      <left style="thin">
        <color rgb="00D6E2EE"/>
      </left>
      <right style="thin">
        <color rgb="00D6E2EE"/>
      </right>
      <top style="thin">
        <color rgb="00D6E2EE"/>
      </top>
      <bottom style="thin">
        <color rgb="00D6E2EE"/>
      </bottom>
    </border>
    <border>
      <left style="thin">
        <color rgb="FFD0E3F5"/>
      </left>
      <right style="thin">
        <color rgb="FFD0E3F5"/>
      </right>
      <top style="thin">
        <color rgb="FFD0E3F5"/>
      </top>
      <bottom style="thin">
        <color rgb="FFD0E3F5"/>
      </bottom>
      <diagonal/>
    </border>
    <border>
      <left style="thin">
        <color rgb="FFD0E3F5"/>
      </left>
      <right/>
      <top style="thin">
        <color rgb="FFD0E3F5"/>
      </top>
      <bottom style="thin">
        <color rgb="FFD0E3F5"/>
      </bottom>
      <diagonal/>
    </border>
    <border>
      <left/>
      <right/>
      <top style="thin">
        <color rgb="FFD0E3F5"/>
      </top>
      <bottom style="thin">
        <color rgb="FFD0E3F5"/>
      </bottom>
      <diagonal/>
    </border>
    <border>
      <left style="medium">
        <color rgb="FF1D64A8"/>
      </left>
      <right style="medium">
        <color rgb="FF1D64A8"/>
      </right>
      <top style="medium">
        <color rgb="FF1D64A8"/>
      </top>
      <bottom style="medium">
        <color rgb="FF1D64A8"/>
      </bottom>
      <diagonal/>
    </border>
    <border>
      <left/>
      <right style="thin">
        <color rgb="FFD0E3F5"/>
      </right>
      <top style="thin">
        <color rgb="FFD0E3F5"/>
      </top>
      <bottom style="thin">
        <color rgb="FFD0E3F5"/>
      </bottom>
      <diagonal/>
    </border>
    <border>
      <left style="thin">
        <color rgb="FFD0E3F5"/>
      </left>
      <right style="thin">
        <color rgb="FFD0E3F5"/>
      </right>
      <top style="thin">
        <color rgb="FFD0E3F5"/>
      </top>
      <bottom style="medium">
        <color rgb="FF15803D"/>
      </bottom>
      <diagonal/>
    </border>
    <border>
      <left/>
      <right style="thin">
        <color rgb="FFD0E3F5"/>
      </right>
      <top style="thin">
        <color rgb="FFD0E3F5"/>
      </top>
      <bottom style="medium">
        <color rgb="FF15803D"/>
      </bottom>
      <diagonal/>
    </border>
    <border>
      <left style="medium">
        <color rgb="FF15803D"/>
      </left>
      <right style="medium">
        <color rgb="FF15803D"/>
      </right>
      <top style="medium">
        <color rgb="FF15803D"/>
      </top>
      <bottom style="medium">
        <color rgb="FF15803D"/>
      </bottom>
      <diagonal/>
    </border>
    <border>
      <left/>
      <right/>
      <top style="medium">
        <color rgb="FF15803D"/>
      </top>
      <bottom style="medium">
        <color rgb="FF15803D"/>
      </bottom>
      <diagonal/>
    </border>
    <border>
      <left/>
      <right style="medium">
        <color rgb="FF15803D"/>
      </right>
      <top style="medium">
        <color rgb="FF15803D"/>
      </top>
      <bottom style="medium">
        <color rgb="FF15803D"/>
      </bottom>
      <diagonal/>
    </border>
    <border>
      <left/>
      <right/>
      <top style="thin">
        <color rgb="FFD0E3F5"/>
      </top>
      <bottom/>
      <diagonal/>
    </border>
    <border>
      <left/>
      <right style="thin">
        <color rgb="FFD0E3F5"/>
      </right>
      <top style="thin">
        <color rgb="FFD0E3F5"/>
      </top>
      <bottom/>
      <diagonal/>
    </border>
    <border>
      <left/>
      <right/>
      <top style="medium">
        <color rgb="FF15803D"/>
      </top>
      <bottom/>
      <diagonal/>
    </border>
    <border>
      <left/>
      <right style="medium">
        <color rgb="FF15803D"/>
      </right>
      <top style="medium">
        <color rgb="FF15803D"/>
      </top>
      <bottom/>
      <diagonal/>
    </border>
    <border>
      <left style="thin">
        <color rgb="FF92400E"/>
      </left>
      <right/>
      <top style="thin">
        <color rgb="FF92400E"/>
      </top>
      <bottom style="thin">
        <color rgb="FF92400E"/>
      </bottom>
      <diagonal/>
    </border>
    <border>
      <left/>
      <right/>
      <top style="thin">
        <color rgb="FF92400E"/>
      </top>
      <bottom style="thin">
        <color rgb="FF92400E"/>
      </bottom>
      <diagonal/>
    </border>
    <border>
      <left/>
      <right/>
      <top style="thin">
        <color rgb="FF92400E"/>
      </top>
      <bottom/>
      <diagonal/>
    </border>
  </borders>
  <cellStyleXfs count="1">
    <xf numFmtId="0" fontId="0" fillId="0" borderId="0"/>
  </cellStyleXfs>
  <cellXfs count="13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13" fillId="8" borderId="0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14" fillId="9" borderId="0" applyAlignment="1" pivotButton="0" quotePrefix="0" xfId="0">
      <alignment horizontal="left" vertical="center"/>
    </xf>
    <xf numFmtId="0" fontId="15" fillId="10" borderId="0" applyAlignment="1" pivotButton="0" quotePrefix="0" xfId="0">
      <alignment horizontal="left" vertical="center"/>
    </xf>
    <xf numFmtId="0" fontId="16" fillId="10" borderId="0" applyAlignment="1" pivotButton="0" quotePrefix="0" xfId="0">
      <alignment horizontal="left" vertical="center"/>
    </xf>
    <xf numFmtId="0" fontId="15" fillId="9" borderId="2" applyAlignment="1" pivotButton="0" quotePrefix="0" xfId="0">
      <alignment horizontal="center" vertical="center" wrapText="1"/>
    </xf>
    <xf numFmtId="0" fontId="17" fillId="11" borderId="2" applyAlignment="1" pivotButton="0" quotePrefix="0" xfId="0">
      <alignment horizontal="left" vertical="center"/>
    </xf>
    <xf numFmtId="0" fontId="18" fillId="11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center" vertical="center"/>
    </xf>
    <xf numFmtId="0" fontId="20" fillId="13" borderId="2" applyAlignment="1" pivotButton="0" quotePrefix="0" xfId="0">
      <alignment horizontal="center" vertical="center"/>
    </xf>
    <xf numFmtId="0" fontId="21" fillId="11" borderId="2" applyAlignment="1" pivotButton="0" quotePrefix="0" xfId="0">
      <alignment horizontal="center" vertical="center"/>
    </xf>
    <xf numFmtId="0" fontId="22" fillId="11" borderId="3" applyAlignment="1" pivotButton="0" quotePrefix="0" xfId="0">
      <alignment horizontal="left" vertical="center"/>
    </xf>
    <xf numFmtId="0" fontId="0" fillId="0" borderId="4" pivotButton="0" quotePrefix="0" xfId="0"/>
    <xf numFmtId="0" fontId="17" fillId="14" borderId="2" applyAlignment="1" pivotButton="0" quotePrefix="0" xfId="0">
      <alignment horizontal="left" vertical="center"/>
    </xf>
    <xf numFmtId="0" fontId="18" fillId="14" borderId="2" applyAlignment="1" pivotButton="0" quotePrefix="0" xfId="0">
      <alignment horizontal="center" vertical="center"/>
    </xf>
    <xf numFmtId="0" fontId="21" fillId="14" borderId="2" applyAlignment="1" pivotButton="0" quotePrefix="0" xfId="0">
      <alignment horizontal="center" vertical="center"/>
    </xf>
    <xf numFmtId="0" fontId="22" fillId="14" borderId="3" applyAlignment="1" pivotButton="0" quotePrefix="0" xfId="0">
      <alignment horizontal="left" vertical="center"/>
    </xf>
    <xf numFmtId="0" fontId="15" fillId="15" borderId="5" applyAlignment="1" pivotButton="0" quotePrefix="0" xfId="0">
      <alignment horizontal="center" vertical="center"/>
    </xf>
    <xf numFmtId="164" fontId="24" fillId="14" borderId="2" applyAlignment="1" pivotButton="0" quotePrefix="0" xfId="0">
      <alignment horizontal="center" vertical="center"/>
    </xf>
    <xf numFmtId="165" fontId="17" fillId="14" borderId="2" applyAlignment="1" pivotButton="0" quotePrefix="0" xfId="0">
      <alignment horizontal="center" vertical="center"/>
    </xf>
    <xf numFmtId="166" fontId="20" fillId="14" borderId="2" applyAlignment="1" pivotButton="0" quotePrefix="0" xfId="0">
      <alignment horizontal="center" vertical="center"/>
    </xf>
    <xf numFmtId="0" fontId="20" fillId="14" borderId="2" applyAlignment="1" pivotButton="0" quotePrefix="0" xfId="0">
      <alignment horizontal="center" vertical="center"/>
    </xf>
    <xf numFmtId="0" fontId="24" fillId="14" borderId="2" applyAlignment="1" pivotButton="0" quotePrefix="0" xfId="0">
      <alignment horizontal="center" vertical="center"/>
    </xf>
    <xf numFmtId="3" fontId="17" fillId="14" borderId="2" applyAlignment="1" pivotButton="0" quotePrefix="0" xfId="0">
      <alignment horizontal="center" vertical="center"/>
    </xf>
    <xf numFmtId="3" fontId="21" fillId="14" borderId="2" applyAlignment="1" pivotButton="0" quotePrefix="0" xfId="0">
      <alignment horizontal="center" vertical="center"/>
    </xf>
    <xf numFmtId="3" fontId="25" fillId="14" borderId="2" applyAlignment="1" pivotButton="0" quotePrefix="0" xfId="0">
      <alignment horizontal="center" vertical="center"/>
    </xf>
    <xf numFmtId="0" fontId="15" fillId="16" borderId="5" applyAlignment="1" pivotButton="0" quotePrefix="0" xfId="0">
      <alignment horizontal="center" vertical="center"/>
    </xf>
    <xf numFmtId="164" fontId="24" fillId="11" borderId="2" applyAlignment="1" pivotButton="0" quotePrefix="0" xfId="0">
      <alignment horizontal="center" vertical="center"/>
    </xf>
    <xf numFmtId="165" fontId="17" fillId="11" borderId="2" applyAlignment="1" pivotButton="0" quotePrefix="0" xfId="0">
      <alignment horizontal="center" vertical="center"/>
    </xf>
    <xf numFmtId="166" fontId="20" fillId="11" borderId="2" applyAlignment="1" pivotButton="0" quotePrefix="0" xfId="0">
      <alignment horizontal="center" vertical="center"/>
    </xf>
    <xf numFmtId="0" fontId="20" fillId="11" borderId="2" applyAlignment="1" pivotButton="0" quotePrefix="0" xfId="0">
      <alignment horizontal="center" vertical="center"/>
    </xf>
    <xf numFmtId="0" fontId="24" fillId="11" borderId="2" applyAlignment="1" pivotButton="0" quotePrefix="0" xfId="0">
      <alignment horizontal="center" vertical="center"/>
    </xf>
    <xf numFmtId="3" fontId="17" fillId="11" borderId="2" applyAlignment="1" pivotButton="0" quotePrefix="0" xfId="0">
      <alignment horizontal="center" vertical="center"/>
    </xf>
    <xf numFmtId="3" fontId="21" fillId="11" borderId="2" applyAlignment="1" pivotButton="0" quotePrefix="0" xfId="0">
      <alignment horizontal="center" vertical="center"/>
    </xf>
    <xf numFmtId="3" fontId="25" fillId="11" borderId="2" applyAlignment="1" pivotButton="0" quotePrefix="0" xfId="0">
      <alignment horizontal="center" vertical="center"/>
    </xf>
    <xf numFmtId="0" fontId="15" fillId="17" borderId="5" applyAlignment="1" pivotButton="0" quotePrefix="0" xfId="0">
      <alignment horizontal="center" vertical="center"/>
    </xf>
    <xf numFmtId="0" fontId="15" fillId="18" borderId="5" applyAlignment="1" pivotButton="0" quotePrefix="0" xfId="0">
      <alignment horizontal="center" vertical="center"/>
    </xf>
    <xf numFmtId="0" fontId="15" fillId="19" borderId="5" applyAlignment="1" pivotButton="0" quotePrefix="0" xfId="0">
      <alignment horizontal="center" vertical="center"/>
    </xf>
    <xf numFmtId="0" fontId="26" fillId="20" borderId="2" applyAlignment="1" pivotButton="0" quotePrefix="0" xfId="0">
      <alignment horizontal="center" vertical="center"/>
    </xf>
    <xf numFmtId="0" fontId="25" fillId="20" borderId="2" applyAlignment="1" pivotButton="0" quotePrefix="0" xfId="0">
      <alignment horizontal="left" vertical="center"/>
    </xf>
    <xf numFmtId="3" fontId="27" fillId="20" borderId="2" applyAlignment="1" pivotButton="0" quotePrefix="0" xfId="0">
      <alignment horizontal="center" vertical="center"/>
    </xf>
    <xf numFmtId="3" fontId="28" fillId="20" borderId="2" applyAlignment="1" pivotButton="0" quotePrefix="0" xfId="0">
      <alignment horizontal="center" vertical="center"/>
    </xf>
    <xf numFmtId="3" fontId="26" fillId="20" borderId="2" applyAlignment="1" pivotButton="0" quotePrefix="0" xfId="0">
      <alignment horizontal="center" vertical="center"/>
    </xf>
    <xf numFmtId="0" fontId="17" fillId="11" borderId="3" applyAlignment="1" pivotButton="0" quotePrefix="0" xfId="0">
      <alignment horizontal="left" vertical="center" wrapText="1"/>
    </xf>
    <xf numFmtId="0" fontId="29" fillId="11" borderId="3" applyAlignment="1" pivotButton="0" quotePrefix="0" xfId="0">
      <alignment horizontal="left" vertical="center" wrapText="1"/>
    </xf>
    <xf numFmtId="0" fontId="20" fillId="11" borderId="3" applyAlignment="1" pivotButton="0" quotePrefix="0" xfId="0">
      <alignment horizontal="left" vertical="center" wrapText="1"/>
    </xf>
    <xf numFmtId="0" fontId="30" fillId="11" borderId="2" applyAlignment="1" pivotButton="0" quotePrefix="0" xfId="0">
      <alignment horizontal="left" vertical="center"/>
    </xf>
    <xf numFmtId="0" fontId="17" fillId="14" borderId="3" applyAlignment="1" pivotButton="0" quotePrefix="0" xfId="0">
      <alignment horizontal="left" vertical="center" wrapText="1"/>
    </xf>
    <xf numFmtId="0" fontId="29" fillId="14" borderId="3" applyAlignment="1" pivotButton="0" quotePrefix="0" xfId="0">
      <alignment horizontal="left" vertical="center" wrapText="1"/>
    </xf>
    <xf numFmtId="0" fontId="20" fillId="14" borderId="3" applyAlignment="1" pivotButton="0" quotePrefix="0" xfId="0">
      <alignment horizontal="left" vertical="center" wrapText="1"/>
    </xf>
    <xf numFmtId="0" fontId="30" fillId="14" borderId="2" applyAlignment="1" pivotButton="0" quotePrefix="0" xfId="0">
      <alignment horizontal="left" vertical="center"/>
    </xf>
    <xf numFmtId="0" fontId="0" fillId="0" borderId="6" pivotButton="0" quotePrefix="0" xfId="0"/>
    <xf numFmtId="0" fontId="25" fillId="11" borderId="2" applyAlignment="1" pivotButton="0" quotePrefix="0" xfId="0">
      <alignment horizontal="left" vertical="center" wrapText="1"/>
    </xf>
    <xf numFmtId="3" fontId="24" fillId="11" borderId="2" applyAlignment="1" pivotButton="0" quotePrefix="0" xfId="0">
      <alignment horizontal="center" vertical="center"/>
    </xf>
    <xf numFmtId="0" fontId="30" fillId="11" borderId="2" applyAlignment="1" pivotButton="0" quotePrefix="0" xfId="0">
      <alignment horizontal="center" vertical="center"/>
    </xf>
    <xf numFmtId="0" fontId="25" fillId="11" borderId="2" applyAlignment="1" pivotButton="0" quotePrefix="0" xfId="0">
      <alignment horizontal="right" vertical="center"/>
    </xf>
    <xf numFmtId="167" fontId="31" fillId="11" borderId="2" applyAlignment="1" pivotButton="0" quotePrefix="0" xfId="0">
      <alignment horizontal="right" vertical="center"/>
    </xf>
    <xf numFmtId="0" fontId="22" fillId="21" borderId="2" applyAlignment="1" pivotButton="0" quotePrefix="0" xfId="0">
      <alignment horizontal="center" vertical="center"/>
    </xf>
    <xf numFmtId="0" fontId="32" fillId="11" borderId="2" applyAlignment="1" pivotButton="0" quotePrefix="0" xfId="0">
      <alignment horizontal="center" vertical="center"/>
    </xf>
    <xf numFmtId="0" fontId="33" fillId="21" borderId="2" applyAlignment="1" pivotButton="0" quotePrefix="0" xfId="0">
      <alignment horizontal="left" vertical="center" wrapText="1"/>
    </xf>
    <xf numFmtId="0" fontId="23" fillId="0" borderId="0" applyAlignment="1" pivotButton="0" quotePrefix="0" xfId="0">
      <alignment wrapText="1"/>
    </xf>
    <xf numFmtId="0" fontId="25" fillId="14" borderId="2" applyAlignment="1" pivotButton="0" quotePrefix="0" xfId="0">
      <alignment horizontal="left" vertical="center" wrapText="1"/>
    </xf>
    <xf numFmtId="3" fontId="24" fillId="14" borderId="2" applyAlignment="1" pivotButton="0" quotePrefix="0" xfId="0">
      <alignment horizontal="center" vertical="center"/>
    </xf>
    <xf numFmtId="0" fontId="30" fillId="14" borderId="2" applyAlignment="1" pivotButton="0" quotePrefix="0" xfId="0">
      <alignment horizontal="center" vertical="center"/>
    </xf>
    <xf numFmtId="3" fontId="25" fillId="14" borderId="2" applyAlignment="1" pivotButton="0" quotePrefix="0" xfId="0">
      <alignment horizontal="right" vertical="center"/>
    </xf>
    <xf numFmtId="167" fontId="31" fillId="14" borderId="2" applyAlignment="1" pivotButton="0" quotePrefix="0" xfId="0">
      <alignment horizontal="right" vertical="center"/>
    </xf>
    <xf numFmtId="0" fontId="22" fillId="14" borderId="2" applyAlignment="1" pivotButton="0" quotePrefix="0" xfId="0">
      <alignment horizontal="center" vertical="center"/>
    </xf>
    <xf numFmtId="0" fontId="32" fillId="14" borderId="2" applyAlignment="1" pivotButton="0" quotePrefix="0" xfId="0">
      <alignment horizontal="center" vertical="center"/>
    </xf>
    <xf numFmtId="0" fontId="33" fillId="14" borderId="2" applyAlignment="1" pivotButton="0" quotePrefix="0" xfId="0">
      <alignment horizontal="left" vertical="center" wrapText="1"/>
    </xf>
    <xf numFmtId="3" fontId="25" fillId="11" borderId="2" applyAlignment="1" pivotButton="0" quotePrefix="0" xfId="0">
      <alignment horizontal="right" vertical="center"/>
    </xf>
    <xf numFmtId="0" fontId="34" fillId="20" borderId="2" applyAlignment="1" pivotButton="0" quotePrefix="0" xfId="0">
      <alignment horizontal="left" vertical="center" wrapText="1"/>
    </xf>
    <xf numFmtId="3" fontId="24" fillId="20" borderId="2" applyAlignment="1" pivotButton="0" quotePrefix="0" xfId="0">
      <alignment horizontal="center" vertical="center"/>
    </xf>
    <xf numFmtId="0" fontId="30" fillId="20" borderId="2" applyAlignment="1" pivotButton="0" quotePrefix="0" xfId="0">
      <alignment horizontal="center" vertical="center"/>
    </xf>
    <xf numFmtId="3" fontId="25" fillId="20" borderId="2" applyAlignment="1" pivotButton="0" quotePrefix="0" xfId="0">
      <alignment horizontal="right" vertical="center"/>
    </xf>
    <xf numFmtId="167" fontId="26" fillId="20" borderId="2" applyAlignment="1" pivotButton="0" quotePrefix="0" xfId="0">
      <alignment horizontal="right" vertical="center"/>
    </xf>
    <xf numFmtId="0" fontId="22" fillId="20" borderId="7" applyAlignment="1" pivotButton="0" quotePrefix="0" xfId="0">
      <alignment horizontal="center" vertical="center"/>
    </xf>
    <xf numFmtId="0" fontId="0" fillId="0" borderId="8" pivotButton="0" quotePrefix="0" xfId="0"/>
    <xf numFmtId="0" fontId="32" fillId="20" borderId="2" applyAlignment="1" pivotButton="0" quotePrefix="0" xfId="0">
      <alignment horizontal="center" vertical="center"/>
    </xf>
    <xf numFmtId="0" fontId="33" fillId="20" borderId="7" applyAlignment="1" pivotButton="0" quotePrefix="0" xfId="0">
      <alignment horizontal="left" vertical="center" wrapText="1"/>
    </xf>
    <xf numFmtId="0" fontId="35" fillId="22" borderId="9" applyAlignment="1" pivotButton="0" quotePrefix="0" xfId="0">
      <alignment horizontal="right" vertical="center"/>
    </xf>
    <xf numFmtId="0" fontId="0" fillId="0" borderId="10" pivotButton="0" quotePrefix="0" xfId="0"/>
    <xf numFmtId="0" fontId="0" fillId="0" borderId="11" pivotButton="0" quotePrefix="0" xfId="0"/>
    <xf numFmtId="167" fontId="36" fillId="22" borderId="9" applyAlignment="1" pivotButton="0" quotePrefix="0" xfId="0">
      <alignment horizontal="right" vertical="center"/>
    </xf>
    <xf numFmtId="0" fontId="37" fillId="22" borderId="9" applyAlignment="1" pivotButton="0" quotePrefix="0" xfId="0">
      <alignment horizontal="left" vertical="center"/>
    </xf>
    <xf numFmtId="0" fontId="24" fillId="23" borderId="2" applyAlignment="1" pivotButton="0" quotePrefix="0" xfId="0">
      <alignment horizontal="left" vertical="center"/>
    </xf>
    <xf numFmtId="168" fontId="31" fillId="23" borderId="2" applyAlignment="1" pivotButton="0" quotePrefix="0" xfId="0">
      <alignment horizontal="right" vertical="center"/>
    </xf>
    <xf numFmtId="0" fontId="22" fillId="23" borderId="2" applyAlignment="1" pivotButton="0" quotePrefix="0" xfId="0">
      <alignment horizontal="left" vertical="center"/>
    </xf>
    <xf numFmtId="0" fontId="21" fillId="11" borderId="3" applyAlignment="1" pivotButton="0" quotePrefix="0" xfId="0">
      <alignment horizontal="left" vertical="center" wrapText="1"/>
    </xf>
    <xf numFmtId="0" fontId="24" fillId="11" borderId="3" applyAlignment="1" pivotButton="0" quotePrefix="0" xfId="0">
      <alignment horizontal="left" vertical="center" wrapText="1"/>
    </xf>
    <xf numFmtId="0" fontId="21" fillId="14" borderId="3" applyAlignment="1" pivotButton="0" quotePrefix="0" xfId="0">
      <alignment horizontal="left" vertical="center" wrapText="1"/>
    </xf>
    <xf numFmtId="0" fontId="24" fillId="14" borderId="3" applyAlignment="1" pivotButton="0" quotePrefix="0" xfId="0">
      <alignment horizontal="left" vertical="center" wrapText="1"/>
    </xf>
    <xf numFmtId="0" fontId="38" fillId="9" borderId="0" applyAlignment="1" pivotButton="0" quotePrefix="0" xfId="0">
      <alignment horizontal="left" vertical="center"/>
    </xf>
    <xf numFmtId="0" fontId="15" fillId="24" borderId="0" applyAlignment="1" pivotButton="0" quotePrefix="0" xfId="0">
      <alignment horizontal="left" vertical="center"/>
    </xf>
    <xf numFmtId="0" fontId="21" fillId="25" borderId="3" applyAlignment="1" pivotButton="0" quotePrefix="0" xfId="0">
      <alignment horizontal="left" vertical="center"/>
    </xf>
    <xf numFmtId="0" fontId="22" fillId="11" borderId="2" applyAlignment="1" pivotButton="0" quotePrefix="0" xfId="0">
      <alignment horizontal="center" vertical="center"/>
    </xf>
    <xf numFmtId="4" fontId="39" fillId="11" borderId="2" applyAlignment="1" pivotButton="0" quotePrefix="0" xfId="0">
      <alignment horizontal="right" vertical="center"/>
    </xf>
    <xf numFmtId="4" fontId="31" fillId="11" borderId="2" applyAlignment="1" pivotButton="0" quotePrefix="0" xfId="0">
      <alignment horizontal="right" vertical="center"/>
    </xf>
    <xf numFmtId="4" fontId="40" fillId="11" borderId="2" applyAlignment="1" pivotButton="0" quotePrefix="0" xfId="0">
      <alignment horizontal="right" vertical="center"/>
    </xf>
    <xf numFmtId="3" fontId="29" fillId="11" borderId="2" applyAlignment="1" pivotButton="0" quotePrefix="0" xfId="0">
      <alignment horizontal="right" vertical="center"/>
    </xf>
    <xf numFmtId="4" fontId="29" fillId="11" borderId="2" applyAlignment="1" pivotButton="0" quotePrefix="0" xfId="0">
      <alignment horizontal="right" vertical="center"/>
    </xf>
    <xf numFmtId="0" fontId="22" fillId="11" borderId="2" applyAlignment="1" pivotButton="0" quotePrefix="0" xfId="0">
      <alignment horizontal="left" vertical="center"/>
    </xf>
    <xf numFmtId="0" fontId="41" fillId="11" borderId="2" applyAlignment="1" pivotButton="0" quotePrefix="0" xfId="0">
      <alignment horizontal="left" vertical="center"/>
    </xf>
    <xf numFmtId="4" fontId="39" fillId="14" borderId="2" applyAlignment="1" pivotButton="0" quotePrefix="0" xfId="0">
      <alignment horizontal="right" vertical="center"/>
    </xf>
    <xf numFmtId="4" fontId="31" fillId="14" borderId="2" applyAlignment="1" pivotButton="0" quotePrefix="0" xfId="0">
      <alignment horizontal="right" vertical="center"/>
    </xf>
    <xf numFmtId="4" fontId="40" fillId="14" borderId="2" applyAlignment="1" pivotButton="0" quotePrefix="0" xfId="0">
      <alignment horizontal="right" vertical="center"/>
    </xf>
    <xf numFmtId="3" fontId="29" fillId="14" borderId="2" applyAlignment="1" pivotButton="0" quotePrefix="0" xfId="0">
      <alignment horizontal="right" vertical="center"/>
    </xf>
    <xf numFmtId="4" fontId="29" fillId="14" borderId="2" applyAlignment="1" pivotButton="0" quotePrefix="0" xfId="0">
      <alignment horizontal="right" vertical="center"/>
    </xf>
    <xf numFmtId="0" fontId="22" fillId="14" borderId="2" applyAlignment="1" pivotButton="0" quotePrefix="0" xfId="0">
      <alignment horizontal="left" vertical="center"/>
    </xf>
    <xf numFmtId="0" fontId="41" fillId="14" borderId="2" applyAlignment="1" pivotButton="0" quotePrefix="0" xfId="0">
      <alignment horizontal="left" vertical="center"/>
    </xf>
    <xf numFmtId="0" fontId="42" fillId="26" borderId="16" applyAlignment="1" pivotButton="0" quotePrefix="0" xfId="0">
      <alignment horizontal="left" vertical="center" wrapText="1"/>
    </xf>
    <xf numFmtId="0" fontId="0" fillId="0" borderId="1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5" customWidth="1" min="3" max="3"/>
    <col width="12" customWidth="1" min="4" max="4"/>
    <col width="12" customWidth="1" min="5" max="5"/>
    <col width="15" customWidth="1" min="6" max="6"/>
    <col width="13" customWidth="1" min="7" max="7"/>
    <col width="34" customWidth="1" min="8" max="8"/>
  </cols>
  <sheetData>
    <row r="1" ht="30" customHeight="1">
      <c r="A1" s="1" t="inlineStr">
        <is>
          <t>SOLUTION FINALE — 5 Bornes-fontaines gravitaires + Pompe solaire de relevage · Village Rural Guinée</t>
        </is>
      </c>
    </row>
    <row r="2" ht="18" customHeight="1">
      <c r="A2" s="2" t="inlineStr">
        <is>
          <t>Village rural Guinée · 1 031 hab. · Réservoir base 373 m NGF · Débit max 37 m³/jour · Budget max 220 000 €</t>
        </is>
      </c>
    </row>
    <row r="4" ht="24" customHeight="1">
      <c r="A4" s="3" t="inlineStr">
        <is>
          <t>1.  LOCALISATIONS PROPOSÉES DES 5 BORNES-FONTAINES</t>
        </is>
      </c>
    </row>
    <row r="5" ht="26" customHeight="1">
      <c r="A5" s="4" t="inlineStr">
        <is>
          <t>BF #</t>
        </is>
      </c>
      <c r="B5" s="5" t="inlineStr">
        <is>
          <t>Alt. (m NGF)</t>
        </is>
      </c>
      <c r="C5" s="5" t="inlineStr">
        <is>
          <t>Charge dispon. (m CE)</t>
        </is>
      </c>
      <c r="D5" s="5" t="inlineStr">
        <is>
          <t>Ménages couverts</t>
        </is>
      </c>
      <c r="E5" s="5" t="inlineStr">
        <is>
          <t>Population</t>
        </is>
      </c>
      <c r="F5" s="5" t="inlineStr">
        <is>
          <t>Demande conçue (L/j)</t>
        </is>
      </c>
      <c r="G5" s="5" t="inlineStr">
        <is>
          <t>Dist. réservoir</t>
        </is>
      </c>
      <c r="H5" s="5" t="inlineStr">
        <is>
          <t>Alimentation</t>
        </is>
      </c>
    </row>
    <row r="6">
      <c r="A6" s="6" t="inlineStr">
        <is>
          <t>BF1</t>
        </is>
      </c>
      <c r="B6" s="7" t="n">
        <v>363</v>
      </c>
      <c r="C6" s="7" t="n">
        <v>10</v>
      </c>
      <c r="D6" s="7" t="n">
        <v>58</v>
      </c>
      <c r="E6" s="7" t="n">
        <v>364</v>
      </c>
      <c r="F6" s="7" t="n">
        <v>7280</v>
      </c>
      <c r="G6" s="7" t="inlineStr">
        <is>
          <t>1308 m</t>
        </is>
      </c>
      <c r="H6" s="7" t="inlineStr">
        <is>
          <t>✓ Gravité</t>
        </is>
      </c>
    </row>
    <row r="7">
      <c r="A7" s="6" t="inlineStr">
        <is>
          <t>BF2</t>
        </is>
      </c>
      <c r="B7" s="7" t="n">
        <v>361</v>
      </c>
      <c r="C7" s="7" t="n">
        <v>12</v>
      </c>
      <c r="D7" s="7" t="n">
        <v>31</v>
      </c>
      <c r="E7" s="7" t="n">
        <v>194</v>
      </c>
      <c r="F7" s="7" t="n">
        <v>3880</v>
      </c>
      <c r="G7" s="7" t="inlineStr">
        <is>
          <t>529 m</t>
        </is>
      </c>
      <c r="H7" s="7" t="inlineStr">
        <is>
          <t>✓ Gravité</t>
        </is>
      </c>
    </row>
    <row r="8">
      <c r="A8" s="6" t="inlineStr">
        <is>
          <t>BF3</t>
        </is>
      </c>
      <c r="B8" s="7" t="n">
        <v>350</v>
      </c>
      <c r="C8" s="7" t="n">
        <v>23</v>
      </c>
      <c r="D8" s="7" t="n">
        <v>31</v>
      </c>
      <c r="E8" s="7" t="n">
        <v>188</v>
      </c>
      <c r="F8" s="7" t="n">
        <v>3760</v>
      </c>
      <c r="G8" s="7" t="inlineStr">
        <is>
          <t>1728 m</t>
        </is>
      </c>
      <c r="H8" s="7" t="inlineStr">
        <is>
          <t>✓ Gravité</t>
        </is>
      </c>
    </row>
    <row r="9">
      <c r="A9" s="6" t="inlineStr">
        <is>
          <t>BF4</t>
        </is>
      </c>
      <c r="B9" s="7" t="n">
        <v>350</v>
      </c>
      <c r="C9" s="7" t="n">
        <v>23</v>
      </c>
      <c r="D9" s="7" t="n">
        <v>28</v>
      </c>
      <c r="E9" s="7" t="n">
        <v>165</v>
      </c>
      <c r="F9" s="7" t="n">
        <v>3300</v>
      </c>
      <c r="G9" s="7" t="inlineStr">
        <is>
          <t>991 m</t>
        </is>
      </c>
      <c r="H9" s="7" t="inlineStr">
        <is>
          <t>✓ Gravité</t>
        </is>
      </c>
    </row>
    <row r="10">
      <c r="A10" s="6" t="inlineStr">
        <is>
          <t>BF5</t>
        </is>
      </c>
      <c r="B10" s="7" t="n">
        <v>354</v>
      </c>
      <c r="C10" s="7" t="n">
        <v>19</v>
      </c>
      <c r="D10" s="7" t="n">
        <v>11</v>
      </c>
      <c r="E10" s="7" t="n">
        <v>62</v>
      </c>
      <c r="F10" s="7" t="n">
        <v>1240</v>
      </c>
      <c r="G10" s="7" t="inlineStr">
        <is>
          <t>752 m</t>
        </is>
      </c>
      <c r="H10" s="7" t="inlineStr">
        <is>
          <t>✓ Gravité</t>
        </is>
      </c>
    </row>
    <row r="11">
      <c r="A11" s="8" t="inlineStr">
        <is>
          <t>TOTAL</t>
        </is>
      </c>
      <c r="B11" s="9" t="inlineStr"/>
      <c r="C11" s="9" t="inlineStr"/>
      <c r="D11" s="9" t="n">
        <v>159</v>
      </c>
      <c r="E11" s="9" t="n">
        <v>973</v>
      </c>
      <c r="F11" s="9" t="n">
        <v>19460</v>
      </c>
      <c r="G11" s="9" t="inlineStr">
        <is>
          <t>Couverture : 94.4%</t>
        </is>
      </c>
      <c r="H11" s="9" t="inlineStr"/>
    </row>
    <row r="13" ht="24" customHeight="1">
      <c r="A13" s="3" t="inlineStr">
        <is>
          <t>2.  CALCUL DES DÉBITS — Paramètres de dimensionnement</t>
        </is>
      </c>
    </row>
    <row r="14" ht="26" customHeight="1">
      <c r="A14" s="4" t="inlineStr">
        <is>
          <t>Paramètre</t>
        </is>
      </c>
      <c r="B14" s="5" t="inlineStr">
        <is>
          <t>Valeur calculée</t>
        </is>
      </c>
      <c r="C14" s="5" t="inlineStr">
        <is>
          <t>Commentaire / Source</t>
        </is>
      </c>
    </row>
    <row r="15" ht="18" customHeight="1">
      <c r="A15" s="6" t="inlineStr">
        <is>
          <t>Dotation de conception retenue</t>
        </is>
      </c>
      <c r="C15" s="10" t="inlineStr">
        <is>
          <t>20 L/pers./jour</t>
        </is>
      </c>
      <c r="E15" s="11" t="inlineStr">
        <is>
          <t>OMS minimum — supérieur à la demande exprimée (17,2 L/p/j)</t>
        </is>
      </c>
    </row>
    <row r="16" ht="18" customHeight="1">
      <c r="A16" s="6" t="inlineStr">
        <is>
          <t>Facteur de pointe horaire (PHF)</t>
        </is>
      </c>
      <c r="C16" s="10" t="inlineStr">
        <is>
          <t>2</t>
        </is>
      </c>
      <c r="E16" s="11" t="inlineStr">
        <is>
          <t>Rural Afrique Ouest — pointe matin + soir</t>
        </is>
      </c>
    </row>
    <row r="17" ht="18" customHeight="1">
      <c r="A17" s="6" t="inlineStr">
        <is>
          <t>Fenêtre de distribution</t>
        </is>
      </c>
      <c r="C17" s="10" t="inlineStr">
        <is>
          <t>12 heures/jour</t>
        </is>
      </c>
      <c r="E17" s="11" t="inlineStr">
        <is>
          <t>Système gravitaire — distribution 6h00–18h00</t>
        </is>
      </c>
    </row>
    <row r="18" ht="18" customHeight="1">
      <c r="A18" s="6" t="inlineStr">
        <is>
          <t>Débit moyen (sur 24 h)</t>
        </is>
      </c>
      <c r="C18" s="10" t="inlineStr">
        <is>
          <t>0.225 L/s</t>
        </is>
      </c>
      <c r="E18" s="11" t="inlineStr">
        <is>
          <t>19.46 m³/j ÷ 86 400 s</t>
        </is>
      </c>
    </row>
    <row r="19" ht="18" customHeight="1">
      <c r="A19" s="6" t="inlineStr">
        <is>
          <t>Débit de conception (PHF=2, 12 h)</t>
        </is>
      </c>
      <c r="C19" s="10" t="inlineStr">
        <is>
          <t>0.901 L/s</t>
        </is>
      </c>
      <c r="E19" s="11" t="inlineStr">
        <is>
          <t>Débit max utilisé pour dimensionner les tuyaux</t>
        </is>
      </c>
    </row>
    <row r="20" ht="18" customHeight="1">
      <c r="A20" s="6" t="inlineStr">
        <is>
          <t>Débit réservoir disponible</t>
        </is>
      </c>
      <c r="C20" s="10" t="inlineStr">
        <is>
          <t>37,0 m³/jour</t>
        </is>
      </c>
      <c r="E20" s="11" t="inlineStr">
        <is>
          <t>Contrainte pompe motorisée — énoncé projet</t>
        </is>
      </c>
    </row>
    <row r="21" ht="18" customHeight="1">
      <c r="A21" s="6" t="inlineStr">
        <is>
          <t>Marge hydraulique résiduelle</t>
        </is>
      </c>
      <c r="C21" s="10" t="inlineStr">
        <is>
          <t>17.54 m³/j</t>
        </is>
      </c>
      <c r="E21" s="11">
        <f> 37 − demande totale conçue</f>
        <v/>
      </c>
    </row>
    <row r="22" ht="18" customHeight="1">
      <c r="A22" s="6" t="inlineStr">
        <is>
          <t>Coeff. Hazen-Williams (HDPE neuf)</t>
        </is>
      </c>
      <c r="C22" s="10" t="inlineStr">
        <is>
          <t>C = 135</t>
        </is>
      </c>
      <c r="E22" s="11" t="inlineStr">
        <is>
          <t>Norme HDPE PN10 / ISO 4427</t>
        </is>
      </c>
    </row>
    <row r="24" ht="24" customHeight="1">
      <c r="A24" s="3" t="inlineStr">
        <is>
          <t>3.  DIMENSIONNEMENT DES CONDUITES — Hazen-Williams (C = 135, HDPE PN10)</t>
        </is>
      </c>
    </row>
    <row r="25" ht="26" customHeight="1">
      <c r="A25" s="4" t="inlineStr">
        <is>
          <t>Tronçon</t>
        </is>
      </c>
      <c r="B25" s="5" t="inlineStr">
        <is>
          <t>Longueur (m)</t>
        </is>
      </c>
      <c r="C25" s="5" t="inlineStr">
        <is>
          <t>Q design (L/s)</t>
        </is>
      </c>
      <c r="D25" s="5" t="inlineStr">
        <is>
          <t>Diamètre</t>
        </is>
      </c>
      <c r="E25" s="5" t="inlineStr">
        <is>
          <t>Vitesse (m/s)</t>
        </is>
      </c>
      <c r="F25" s="5" t="inlineStr">
        <is>
          <t>Perte hf (m)</t>
        </is>
      </c>
      <c r="G25" s="5" t="inlineStr">
        <is>
          <t>hf/km</t>
        </is>
      </c>
      <c r="H25" s="5" t="inlineStr">
        <is>
          <t>Pression aval (m CE)</t>
        </is>
      </c>
    </row>
    <row r="26">
      <c r="A26" s="6" t="inlineStr">
        <is>
          <t>RES → BF2</t>
        </is>
      </c>
      <c r="B26" s="7" t="inlineStr">
        <is>
          <t>529</t>
        </is>
      </c>
      <c r="C26" s="7" t="inlineStr">
        <is>
          <t>0.200</t>
        </is>
      </c>
      <c r="D26" s="7" t="inlineStr">
        <is>
          <t>DN50</t>
        </is>
      </c>
      <c r="E26" s="7" t="inlineStr">
        <is>
          <t>0.159</t>
        </is>
      </c>
      <c r="F26" s="7" t="inlineStr">
        <is>
          <t>0.580</t>
        </is>
      </c>
      <c r="G26" s="7" t="inlineStr">
        <is>
          <t>1.10</t>
        </is>
      </c>
      <c r="H26" s="7" t="inlineStr">
        <is>
          <t>11.4</t>
        </is>
      </c>
    </row>
    <row r="27">
      <c r="A27" s="6" t="inlineStr">
        <is>
          <t>RES → BF3</t>
        </is>
      </c>
      <c r="B27" s="7" t="inlineStr">
        <is>
          <t>1728</t>
        </is>
      </c>
      <c r="C27" s="7" t="inlineStr">
        <is>
          <t>0.200</t>
        </is>
      </c>
      <c r="D27" s="7" t="inlineStr">
        <is>
          <t>DN40</t>
        </is>
      </c>
      <c r="E27" s="7" t="inlineStr">
        <is>
          <t>0.159</t>
        </is>
      </c>
      <c r="F27" s="7" t="inlineStr">
        <is>
          <t>1.896</t>
        </is>
      </c>
      <c r="G27" s="7" t="inlineStr">
        <is>
          <t>1.10</t>
        </is>
      </c>
      <c r="H27" s="7" t="inlineStr">
        <is>
          <t>21.1 ⚠ PRV conseillé</t>
        </is>
      </c>
    </row>
    <row r="28">
      <c r="A28" s="6" t="inlineStr">
        <is>
          <t>RES → BF4</t>
        </is>
      </c>
      <c r="B28" s="7" t="inlineStr">
        <is>
          <t>991</t>
        </is>
      </c>
      <c r="C28" s="7" t="inlineStr">
        <is>
          <t>0.200</t>
        </is>
      </c>
      <c r="D28" s="7" t="inlineStr">
        <is>
          <t>DN40</t>
        </is>
      </c>
      <c r="E28" s="7" t="inlineStr">
        <is>
          <t>0.159</t>
        </is>
      </c>
      <c r="F28" s="7" t="inlineStr">
        <is>
          <t>1.088</t>
        </is>
      </c>
      <c r="G28" s="7" t="inlineStr">
        <is>
          <t>1.10</t>
        </is>
      </c>
      <c r="H28" s="7" t="inlineStr">
        <is>
          <t>21.9 ⚠ PRV conseillé</t>
        </is>
      </c>
    </row>
    <row r="29">
      <c r="A29" s="6" t="inlineStr">
        <is>
          <t>RES → BF5</t>
        </is>
      </c>
      <c r="B29" s="7" t="inlineStr">
        <is>
          <t>752</t>
        </is>
      </c>
      <c r="C29" s="7" t="inlineStr">
        <is>
          <t>0.394</t>
        </is>
      </c>
      <c r="D29" s="7" t="inlineStr">
        <is>
          <t>DN63</t>
        </is>
      </c>
      <c r="E29" s="7" t="inlineStr">
        <is>
          <t>0.127</t>
        </is>
      </c>
      <c r="F29" s="7" t="inlineStr">
        <is>
          <t>0.318</t>
        </is>
      </c>
      <c r="G29" s="7" t="inlineStr">
        <is>
          <t>0.42</t>
        </is>
      </c>
      <c r="H29" s="7" t="inlineStr">
        <is>
          <t>18.7</t>
        </is>
      </c>
    </row>
    <row r="30">
      <c r="A30" s="6" t="inlineStr">
        <is>
          <t>BF5 → BF1</t>
        </is>
      </c>
      <c r="B30" s="7" t="inlineStr">
        <is>
          <t>556</t>
        </is>
      </c>
      <c r="C30" s="7" t="inlineStr">
        <is>
          <t>0.337</t>
        </is>
      </c>
      <c r="D30" s="7" t="inlineStr">
        <is>
          <t>DN50</t>
        </is>
      </c>
      <c r="E30" s="7" t="inlineStr">
        <is>
          <t>0.172</t>
        </is>
      </c>
      <c r="F30" s="7" t="inlineStr">
        <is>
          <t>0.541</t>
        </is>
      </c>
      <c r="G30" s="7" t="inlineStr">
        <is>
          <t>0.97</t>
        </is>
      </c>
      <c r="H30" s="7" t="inlineStr">
        <is>
          <t>8.5</t>
        </is>
      </c>
    </row>
    <row r="31" ht="16" customHeight="1">
      <c r="A31" s="12" t="inlineStr">
        <is>
          <t>Vitesse 🟢 &gt; 0,3 m/s · 🟡 0,1–0,3 m/s acceptable gravité · Pression min 5 m CE · PRV si pression &gt; 20 m CE · hf = 10,67 × L × Q^1,852 / (C^1,852 × D^4,87)</t>
        </is>
      </c>
    </row>
    <row r="33" ht="24" customHeight="1">
      <c r="A33" s="3" t="inlineStr">
        <is>
          <t>4.  POMPE DE RELEVAGE — foyers non alimentables par gravité (alt. &gt; 373 m NGF)</t>
        </is>
      </c>
    </row>
    <row r="34" ht="26" customHeight="1">
      <c r="A34" s="4" t="inlineStr">
        <is>
          <t>Paramètre</t>
        </is>
      </c>
      <c r="B34" s="5" t="inlineStr">
        <is>
          <t>Valeur</t>
        </is>
      </c>
      <c r="C34" s="5" t="inlineStr">
        <is>
          <t>Commentaire / Calcul</t>
        </is>
      </c>
    </row>
    <row r="35" ht="18" customHeight="1">
      <c r="A35" s="6" t="inlineStr">
        <is>
          <t>Ménages concernés</t>
        </is>
      </c>
      <c r="C35" s="10" t="inlineStr">
        <is>
          <t>3 ménages (~16 pers.)</t>
        </is>
      </c>
      <c r="E35" s="11" t="inlineStr">
        <is>
          <t>Altitude 375–378 m NGF — au-dessus de la base cuve (373 m)</t>
        </is>
      </c>
    </row>
    <row r="36" ht="18" customHeight="1">
      <c r="A36" s="6" t="inlineStr">
        <is>
          <t>Demande journalière</t>
        </is>
      </c>
      <c r="C36" s="10" t="inlineStr">
        <is>
          <t>320 L/jour</t>
        </is>
      </c>
      <c r="E36" s="11" t="inlineStr">
        <is>
          <t>3 × 6 pers × 20 L/p/j</t>
        </is>
      </c>
    </row>
    <row r="37" ht="18" customHeight="1">
      <c r="A37" s="6" t="inlineStr">
        <is>
          <t>Hauteur manométrique (Hm)</t>
        </is>
      </c>
      <c r="C37" s="10" t="inlineStr">
        <is>
          <t>28 m</t>
        </is>
      </c>
      <c r="E37" s="11" t="inlineStr">
        <is>
          <t>Δz=8 m (lift) + 5 m (pression min) + 2 m (pertes)</t>
        </is>
      </c>
    </row>
    <row r="38" ht="18" customHeight="1">
      <c r="A38" s="6" t="inlineStr">
        <is>
          <t>Débit pompe (Q)</t>
        </is>
      </c>
      <c r="C38" s="10" t="inlineStr">
        <is>
          <t>0.044 L/s</t>
        </is>
      </c>
      <c r="E38" s="11" t="inlineStr">
        <is>
          <t>Demande distribuée sur 2 h de pompage/jour</t>
        </is>
      </c>
    </row>
    <row r="39" ht="18" customHeight="1">
      <c r="A39" s="6" t="inlineStr">
        <is>
          <t>Puissance hydraulique</t>
        </is>
      </c>
      <c r="C39" s="10" t="inlineStr">
        <is>
          <t>12.2 W</t>
        </is>
      </c>
      <c r="E39" s="11" t="inlineStr">
        <is>
          <t>P = ρ × g × Q × Hm</t>
        </is>
      </c>
    </row>
    <row r="40" ht="18" customHeight="1">
      <c r="A40" s="6" t="inlineStr">
        <is>
          <t>Puissance arbre (η=55%)</t>
        </is>
      </c>
      <c r="C40" s="10" t="inlineStr">
        <is>
          <t>22.2 W</t>
        </is>
      </c>
      <c r="E40" s="11" t="inlineStr">
        <is>
          <t>P_arbre = P_hyd / rendement pompe → pompe 50 W solaire</t>
        </is>
      </c>
    </row>
    <row r="41" ht="18" customHeight="1">
      <c r="A41" s="6" t="inlineStr">
        <is>
          <t>Énergie quotidienne</t>
        </is>
      </c>
      <c r="C41" s="10" t="inlineStr">
        <is>
          <t>0,10 kWh/jour</t>
        </is>
      </c>
      <c r="E41" s="11" t="inlineStr">
        <is>
          <t>50 W × 2 h — 1 panneau 100 W suffit · OPEX ≈ 0</t>
        </is>
      </c>
    </row>
    <row r="42" ht="18" customHeight="1">
      <c r="A42" s="6" t="inlineStr">
        <is>
          <t>CAPEX pompe (total)</t>
        </is>
      </c>
      <c r="C42" s="10" t="inlineStr">
        <is>
          <t>~2 600 €</t>
        </is>
      </c>
      <c r="E42" s="11" t="inlineStr">
        <is>
          <t>Pompe solaire 600 € + tuyau DN25 × 200 m (2 000 €)</t>
        </is>
      </c>
    </row>
    <row r="44" ht="24" customHeight="1">
      <c r="A44" s="3" t="inlineStr">
        <is>
          <t>5.  ESTIMATION DES COÛTS — Solution 1</t>
        </is>
      </c>
    </row>
    <row r="45" ht="26" customHeight="1">
      <c r="A45" s="4" t="inlineStr">
        <is>
          <t>Poste de dépense</t>
        </is>
      </c>
      <c r="B45" s="5" t="inlineStr"/>
      <c r="C45" s="5" t="inlineStr"/>
      <c r="D45" s="5" t="inlineStr"/>
      <c r="E45" s="5" t="inlineStr">
        <is>
          <t>Total (€)</t>
        </is>
      </c>
      <c r="F45" s="5" t="inlineStr">
        <is>
          <t>Source / justification</t>
        </is>
      </c>
    </row>
    <row r="46" ht="18" customHeight="1">
      <c r="A46" s="6" t="inlineStr">
        <is>
          <t>Réseau de conduites posées, coût par diamètre réel</t>
        </is>
      </c>
      <c r="E46" s="10" t="inlineStr">
        <is>
          <t>143 237 €</t>
        </is>
      </c>
      <c r="F46" s="11" t="inlineStr">
        <is>
          <t>Benchmark Afrique de l'Ouest (WASHCost / IRC WASH)</t>
        </is>
      </c>
    </row>
    <row r="47" ht="18" customHeight="1">
      <c r="A47" s="6" t="inlineStr">
        <is>
          <t>5 bornes-fontaines (dalle + 2 robinets + drainage)</t>
        </is>
      </c>
      <c r="E47" s="10" t="inlineStr">
        <is>
          <t>13 700 €</t>
        </is>
      </c>
      <c r="F47" s="11" t="inlineStr">
        <is>
          <t>Benchmark Afrique de l'Ouest (WASHCost / IRC WASH)</t>
        </is>
      </c>
    </row>
    <row r="48" ht="18" customHeight="1">
      <c r="A48" s="6" t="inlineStr">
        <is>
          <t>Vannes + ventouses + regards béton (forfait)</t>
        </is>
      </c>
      <c r="E48" s="10" t="inlineStr">
        <is>
          <t>3 500 €</t>
        </is>
      </c>
      <c r="F48" s="11" t="inlineStr">
        <is>
          <t>Benchmark Afrique de l'Ouest (WASHCost / IRC WASH)</t>
        </is>
      </c>
    </row>
    <row r="49" ht="18" customHeight="1">
      <c r="A49" s="6" t="inlineStr">
        <is>
          <t>2 réducteurs de pression PRV DN40</t>
        </is>
      </c>
      <c r="E49" s="10" t="inlineStr">
        <is>
          <t>260 €</t>
        </is>
      </c>
      <c r="F49" s="11" t="inlineStr">
        <is>
          <t>Benchmark Afrique de l'Ouest (WASHCost / IRC WASH)</t>
        </is>
      </c>
    </row>
    <row r="50" ht="18" customHeight="1">
      <c r="A50" s="6" t="inlineStr">
        <is>
          <t>Chlorateur gravitaire en sortie de réservoir</t>
        </is>
      </c>
      <c r="E50" s="10" t="inlineStr">
        <is>
          <t>500 €</t>
        </is>
      </c>
      <c r="F50" s="11" t="inlineStr">
        <is>
          <t>Benchmark Afrique de l'Ouest (WASHCost / IRC WASH)</t>
        </is>
      </c>
    </row>
    <row r="51" ht="18" customHeight="1">
      <c r="A51" s="6" t="inlineStr">
        <is>
          <t>Surcoût augmentation diamètre, par exemple DN40 → DN50</t>
        </is>
      </c>
      <c r="E51" s="10" t="inlineStr">
        <is>
          <t>4 512 €</t>
        </is>
      </c>
      <c r="F51" s="11" t="inlineStr">
        <is>
          <t>Benchmark Afrique de l'Ouest (WASHCost / IRC WASH)</t>
        </is>
      </c>
    </row>
    <row r="52" ht="18" customHeight="1">
      <c r="A52" s="6" t="inlineStr">
        <is>
          <t>Pompes booster solaires ciblées</t>
        </is>
      </c>
      <c r="E52" s="10" t="inlineStr">
        <is>
          <t>3 600 €</t>
        </is>
      </c>
      <c r="F52" s="11" t="inlineStr">
        <is>
          <t>Benchmark Afrique de l'Ouest (WASHCost / IRC WASH)</t>
        </is>
      </c>
    </row>
    <row r="53" ht="18" customHeight="1">
      <c r="A53" s="6" t="inlineStr">
        <is>
          <t>Pompe solaire de relevage + panneau + batterie</t>
        </is>
      </c>
      <c r="E53" s="10" t="inlineStr">
        <is>
          <t>600 €</t>
        </is>
      </c>
      <c r="F53" s="11" t="inlineStr">
        <is>
          <t>Benchmark Afrique de l'Ouest (WASHCost / IRC WASH)</t>
        </is>
      </c>
    </row>
    <row r="54" ht="18" customHeight="1">
      <c r="A54" s="6" t="inlineStr">
        <is>
          <t>Conduite DN25 pompe de relevage (200 m)</t>
        </is>
      </c>
      <c r="E54" s="10" t="inlineStr">
        <is>
          <t>2 000 €</t>
        </is>
      </c>
      <c r="F54" s="11" t="inlineStr">
        <is>
          <t>Benchmark Afrique de l'Ouest (WASHCost / IRC WASH)</t>
        </is>
      </c>
    </row>
    <row r="55" ht="18" customHeight="1">
      <c r="A55" s="6" t="inlineStr">
        <is>
          <t>Études + topographie + supervision chantier</t>
        </is>
      </c>
      <c r="E55" s="10" t="inlineStr">
        <is>
          <t>7 500 €</t>
        </is>
      </c>
      <c r="F55" s="11" t="inlineStr">
        <is>
          <t>Benchmark Afrique de l'Ouest (WASHCost / IRC WASH)</t>
        </is>
      </c>
    </row>
    <row r="56" ht="18" customHeight="1">
      <c r="A56" s="6" t="inlineStr">
        <is>
          <t>Formation de 3 techniciens locaux</t>
        </is>
      </c>
      <c r="E56" s="10" t="inlineStr">
        <is>
          <t>1 200 €</t>
        </is>
      </c>
      <c r="F56" s="11" t="inlineStr">
        <is>
          <t>Benchmark Afrique de l'Ouest (WASHCost / IRC WASH)</t>
        </is>
      </c>
    </row>
    <row r="57" ht="18" customHeight="1">
      <c r="A57" s="6" t="inlineStr">
        <is>
          <t>Imprévus (5%)</t>
        </is>
      </c>
      <c r="E57" s="10" t="inlineStr">
        <is>
          <t>9 030 €</t>
        </is>
      </c>
      <c r="F57" s="11" t="inlineStr">
        <is>
          <t>Benchmark Afrique de l'Ouest (WASHCost / IRC WASH)</t>
        </is>
      </c>
    </row>
    <row r="58" ht="18" customHeight="1">
      <c r="A58" s="8" t="inlineStr">
        <is>
          <t>CAPEX TOTAL SOLUTION 1</t>
        </is>
      </c>
      <c r="E58" s="9" t="inlineStr">
        <is>
          <t>189 639 €</t>
        </is>
      </c>
      <c r="F58" s="13" t="inlineStr">
        <is>
          <t>✅ DANS LE BUDGET — Marge : 30 361 € sur 220 000 € (86.2% utilisé)</t>
        </is>
      </c>
    </row>
    <row r="59" ht="18" customHeight="1">
      <c r="A59" s="6" t="inlineStr">
        <is>
          <t>OPEX annuel estimé</t>
        </is>
      </c>
      <c r="E59" s="10" t="inlineStr">
        <is>
          <t>4 430 €</t>
        </is>
      </c>
      <c r="F59" s="11" t="inlineStr">
        <is>
          <t>Cycle de vie 20 ans : 278 239 € · Coût/pers. : 286 €/pers.</t>
        </is>
      </c>
    </row>
    <row r="61" ht="24" customHeight="1">
      <c r="A61" s="3" t="inlineStr">
        <is>
          <t>▸  Solution générée par algorithme — couverture greedy 500 m · dimensionnement Hazen-Williams · coûts benchmark AO</t>
        </is>
      </c>
    </row>
  </sheetData>
  <mergeCells count="88">
    <mergeCell ref="A15:B15"/>
    <mergeCell ref="C15:D15"/>
    <mergeCell ref="F45:H45"/>
    <mergeCell ref="E37:H37"/>
    <mergeCell ref="F47:H47"/>
    <mergeCell ref="A58:D58"/>
    <mergeCell ref="A41:B41"/>
    <mergeCell ref="C41:D41"/>
    <mergeCell ref="A51:D51"/>
    <mergeCell ref="A42:B42"/>
    <mergeCell ref="A54:D54"/>
    <mergeCell ref="C36:D36"/>
    <mergeCell ref="A17:B17"/>
    <mergeCell ref="C17:D17"/>
    <mergeCell ref="A22:B22"/>
    <mergeCell ref="A35:B35"/>
    <mergeCell ref="A56:D56"/>
    <mergeCell ref="A19:B19"/>
    <mergeCell ref="C19:D19"/>
    <mergeCell ref="A13:H13"/>
    <mergeCell ref="A44:H44"/>
    <mergeCell ref="A31:H31"/>
    <mergeCell ref="A39:B39"/>
    <mergeCell ref="F51:H51"/>
    <mergeCell ref="E36:H36"/>
    <mergeCell ref="A53:D53"/>
    <mergeCell ref="A24:H24"/>
    <mergeCell ref="F50:H50"/>
    <mergeCell ref="E22:H22"/>
    <mergeCell ref="A48:D48"/>
    <mergeCell ref="E21:H21"/>
    <mergeCell ref="A37:B37"/>
    <mergeCell ref="A59:D59"/>
    <mergeCell ref="C40:D40"/>
    <mergeCell ref="F49:H49"/>
    <mergeCell ref="A2:H2"/>
    <mergeCell ref="E38:H38"/>
    <mergeCell ref="A46:D46"/>
    <mergeCell ref="E40:H40"/>
    <mergeCell ref="C14:H14"/>
    <mergeCell ref="C18:D18"/>
    <mergeCell ref="F59:H59"/>
    <mergeCell ref="F55:H55"/>
    <mergeCell ref="E16:H16"/>
    <mergeCell ref="A36:B36"/>
    <mergeCell ref="A52:D52"/>
    <mergeCell ref="A61:H61"/>
    <mergeCell ref="C20:D20"/>
    <mergeCell ref="E18:H18"/>
    <mergeCell ref="F58:H58"/>
    <mergeCell ref="C22:D22"/>
    <mergeCell ref="F52:H52"/>
    <mergeCell ref="A49:D49"/>
    <mergeCell ref="A21:B21"/>
    <mergeCell ref="C21:D21"/>
    <mergeCell ref="E39:H39"/>
    <mergeCell ref="F57:H57"/>
    <mergeCell ref="E20:H20"/>
    <mergeCell ref="A33:H33"/>
    <mergeCell ref="C34:H34"/>
    <mergeCell ref="F53:H53"/>
    <mergeCell ref="A38:B38"/>
    <mergeCell ref="C38:D38"/>
    <mergeCell ref="E15:H15"/>
    <mergeCell ref="A57:D57"/>
    <mergeCell ref="A40:B40"/>
    <mergeCell ref="C42:D42"/>
    <mergeCell ref="A1:H1"/>
    <mergeCell ref="E41:H41"/>
    <mergeCell ref="C35:D35"/>
    <mergeCell ref="A16:B16"/>
    <mergeCell ref="F46:H46"/>
    <mergeCell ref="C16:D16"/>
    <mergeCell ref="F56:H56"/>
    <mergeCell ref="A18:B18"/>
    <mergeCell ref="F48:H48"/>
    <mergeCell ref="E42:H42"/>
    <mergeCell ref="E17:H17"/>
    <mergeCell ref="E35:H35"/>
    <mergeCell ref="E19:H19"/>
    <mergeCell ref="C39:D39"/>
    <mergeCell ref="A4:H4"/>
    <mergeCell ref="A20:B20"/>
    <mergeCell ref="F54:H54"/>
    <mergeCell ref="A50:D50"/>
    <mergeCell ref="C37:D37"/>
    <mergeCell ref="A55:D55"/>
    <mergeCell ref="A47:D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22" customWidth="1" min="3" max="3"/>
    <col width="14" customWidth="1" min="4" max="4"/>
    <col width="13" customWidth="1" min="5" max="5"/>
    <col width="13" customWidth="1" min="6" max="6"/>
    <col width="22" customWidth="1" min="7" max="7"/>
  </cols>
  <sheetData>
    <row r="1" ht="30" customHeight="1">
      <c r="A1" s="1" t="inlineStr">
        <is>
          <t>DOSSIER TECHNIQUE — Explication complète pour investisseurs et enseignants</t>
        </is>
      </c>
    </row>
    <row r="2" ht="18" customHeight="1">
      <c r="A2" s="2" t="inlineStr">
        <is>
          <t>Village rural Guinée · Système AEP gravitaire · CAFO — L'eau qui rassemble · Juin 2026</t>
        </is>
      </c>
    </row>
    <row r="4" ht="24" customHeight="1">
      <c r="A4" s="3" t="inlineStr">
        <is>
          <t>SECTION 1 — INTRODUCTION ET ANALYSE DE LA SITUATION</t>
        </is>
      </c>
    </row>
    <row r="5" ht="20" customHeight="1">
      <c r="A5" s="14" t="inlineStr">
        <is>
          <t>1.1  Présentation du projet et objectifs</t>
        </is>
      </c>
    </row>
    <row r="6" ht="30" customHeight="1">
      <c r="A6" s="15" t="inlineStr">
        <is>
          <t>Ce projet répond à un appel d'offre du gouvernement local guinéen. L'entreprise CAFO conçoit un système d'adduction d'eau potable (AEP) pour un village rural de 1 031 habitants, en utilisant un château d'eau déjà installé. Le projet doit rester sous 220 000 € sur tout son cycle de vie, ne pas dépasser 37 m³/jour, et être gérable par la communauté locale sans dépendance à des techniciens extérieurs.</t>
        </is>
      </c>
    </row>
    <row r="7" ht="20" customHeight="1">
      <c r="A7" s="14" t="inlineStr">
        <is>
          <t>1.2  Problème actuel — pourquoi le village n'a pas accès à l'eau potable</t>
        </is>
      </c>
    </row>
    <row r="8" ht="30" customHeight="1">
      <c r="A8" s="15" t="inlineStr">
        <is>
          <t>Les 21 puits ouverts du village sont contaminés : 200 à 600 UFC/100 mL de coliformes fécaux (norme OMS = 0). C'est la principale cause de maladies diarrhéiques. Les 3 pompes à main existantes sont insuffisantes. En l'absence d'eau potable proche, femmes et enfants marchent en moyenne 1 169 m (parfois 2 km) pour chercher de l'eau, souvent non sûre.</t>
        </is>
      </c>
    </row>
    <row r="9" ht="16" customHeight="1">
      <c r="A9" s="12" t="inlineStr">
        <is>
          <t>ℹ Données de terrain : qualité de l'eau et GPS issus du fichier RAW_DATA. Les distances sont calculées par la formule de haversine sur les coordonnées GPS.</t>
        </is>
      </c>
    </row>
    <row r="10" ht="20" customHeight="1">
      <c r="A10" s="14" t="inlineStr">
        <is>
          <t>1.3  Population et démographie</t>
        </is>
      </c>
    </row>
    <row r="11" ht="26" customHeight="1">
      <c r="A11" s="4" t="inlineStr">
        <is>
          <t>Paramètre</t>
        </is>
      </c>
      <c r="B11" s="5" t="inlineStr">
        <is>
          <t>Valeur mesurée</t>
        </is>
      </c>
      <c r="C11" s="5" t="inlineStr">
        <is>
          <t>Projection 10 ans (2036)</t>
        </is>
      </c>
      <c r="D11" s="5" t="inlineStr">
        <is>
          <t>Source</t>
        </is>
      </c>
    </row>
    <row r="12">
      <c r="A12" s="16" t="inlineStr">
        <is>
          <t>Population totale</t>
        </is>
      </c>
      <c r="B12" s="17" t="inlineStr">
        <is>
          <t>1 031 pers.</t>
        </is>
      </c>
      <c r="C12" s="17" t="inlineStr">
        <is>
          <t>~1 340 pers.</t>
        </is>
      </c>
      <c r="D12" s="18" t="inlineStr">
        <is>
          <t>Enquête terrain RAW_DATA</t>
        </is>
      </c>
    </row>
    <row r="13">
      <c r="A13" s="16" t="inlineStr">
        <is>
          <t>Nombre de ménages</t>
        </is>
      </c>
      <c r="B13" s="17" t="inlineStr">
        <is>
          <t>170 foyers</t>
        </is>
      </c>
      <c r="C13" s="17" t="inlineStr">
        <is>
          <t>~221 foyers</t>
        </is>
      </c>
      <c r="D13" s="18" t="inlineStr">
        <is>
          <t>Enquête terrain</t>
        </is>
      </c>
    </row>
    <row r="14">
      <c r="A14" s="16" t="inlineStr">
        <is>
          <t>Taille moyenne / foyer</t>
        </is>
      </c>
      <c r="B14" s="17" t="inlineStr">
        <is>
          <t>6.1 pers./foyer</t>
        </is>
      </c>
      <c r="C14" s="17" t="inlineStr">
        <is>
          <t>—</t>
        </is>
      </c>
      <c r="D14" s="18" t="inlineStr">
        <is>
          <t>Calculé sur RAW_DATA</t>
        </is>
      </c>
    </row>
    <row r="15">
      <c r="A15" s="16" t="inlineStr">
        <is>
          <t>Taux croissance annuel</t>
        </is>
      </c>
      <c r="B15" s="17" t="inlineStr">
        <is>
          <t>2,7 %/an (Guinée)</t>
        </is>
      </c>
      <c r="C15" s="17" t="inlineStr">
        <is>
          <t>—</t>
        </is>
      </c>
      <c r="D15" s="18" t="inlineStr">
        <is>
          <t>World Bank 2024</t>
        </is>
      </c>
    </row>
    <row r="16">
      <c r="A16" s="16" t="inlineStr">
        <is>
          <t>Débit max disponible</t>
        </is>
      </c>
      <c r="B16" s="17" t="inlineStr">
        <is>
          <t>37 m³/j</t>
        </is>
      </c>
      <c r="C16" s="17" t="inlineStr">
        <is>
          <t>37 m³/j</t>
        </is>
      </c>
      <c r="D16" s="18" t="inlineStr">
        <is>
          <t>Contrainte pompe — énoncé</t>
        </is>
      </c>
    </row>
    <row r="17" ht="20" customHeight="1">
      <c r="A17" s="14" t="inlineStr">
        <is>
          <t>1.4  Géographie et topographie — le terrain décide tout</t>
        </is>
      </c>
    </row>
    <row r="18" ht="16" customHeight="1">
      <c r="A18" s="15" t="inlineStr">
        <is>
          <t>Le château d'eau trône sur la butte centrale à 368 m NGF ; la base de la cuve est à 373 m NGF. Comme 98 % des foyers sont sous cette altitude, l'eau descend par gravité, sans pompe électrique principale.</t>
        </is>
      </c>
    </row>
    <row r="19" ht="26" customHeight="1">
      <c r="A19" s="4" t="inlineStr">
        <is>
          <t>Paramètre topographique</t>
        </is>
      </c>
      <c r="B19" s="5" t="inlineStr">
        <is>
          <t>Valeur</t>
        </is>
      </c>
      <c r="C19" s="5" t="inlineStr">
        <is>
          <t>Signification pour le réseau</t>
        </is>
      </c>
    </row>
    <row r="20">
      <c r="A20" s="16" t="inlineStr">
        <is>
          <t>Altitude sol réservoir</t>
        </is>
      </c>
      <c r="B20" s="17" t="inlineStr">
        <is>
          <t>368 m NGF</t>
        </is>
      </c>
      <c r="C20" s="18" t="inlineStr">
        <is>
          <t>Point d'ancrage du réseau</t>
        </is>
      </c>
    </row>
    <row r="21">
      <c r="A21" s="16" t="inlineStr">
        <is>
          <t>Altitude base de cuve</t>
        </is>
      </c>
      <c r="B21" s="17" t="inlineStr">
        <is>
          <t>373 m NGF</t>
        </is>
      </c>
      <c r="C21" s="18" t="inlineStr">
        <is>
          <t>L'eau sort à cette altitude — pression disponible</t>
        </is>
      </c>
    </row>
    <row r="22">
      <c r="A22" s="16" t="inlineStr">
        <is>
          <t>Altitude min. des foyers</t>
        </is>
      </c>
      <c r="B22" s="17" t="inlineStr">
        <is>
          <t>350 m NGF</t>
        </is>
      </c>
      <c r="C22" s="18" t="inlineStr">
        <is>
          <t>Pression max = 373−350 = 23 m CE</t>
        </is>
      </c>
    </row>
    <row r="23">
      <c r="A23" s="16" t="inlineStr">
        <is>
          <t>Altitude max. des foyers</t>
        </is>
      </c>
      <c r="B23" s="17" t="inlineStr">
        <is>
          <t>378 m NGF</t>
        </is>
      </c>
      <c r="C23" s="18" t="inlineStr">
        <is>
          <t>3 foyers au-dessus → pas de gravité</t>
        </is>
      </c>
    </row>
    <row r="24">
      <c r="A24" s="16" t="inlineStr">
        <is>
          <t>Pression minimum requise</t>
        </is>
      </c>
      <c r="B24" s="17" t="inlineStr">
        <is>
          <t>5 m CE</t>
        </is>
      </c>
      <c r="C24" s="18" t="inlineStr">
        <is>
          <t>Norme pratique AEP rurale — assurée partout</t>
        </is>
      </c>
    </row>
    <row r="25">
      <c r="A25" s="16" t="inlineStr">
        <is>
          <t>Foyers hors gravité (&gt;373 m)</t>
        </is>
      </c>
      <c r="B25" s="17" t="inlineStr">
        <is>
          <t>3 foyers</t>
        </is>
      </c>
      <c r="C25" s="18" t="inlineStr">
        <is>
          <t>Petite pompe solaire de relevage</t>
        </is>
      </c>
    </row>
    <row r="26" ht="20" customHeight="1">
      <c r="A26" s="14" t="inlineStr">
        <is>
          <t>1.5  Analyse des besoins en eau</t>
        </is>
      </c>
    </row>
    <row r="27" ht="16" customHeight="1">
      <c r="A27" s="15" t="inlineStr">
        <is>
          <t>Chaque foyer a déclaré ses besoins (boire, cuisiner, hygiène, lessive) : 17 752 L/jour pour 1 031 personnes, soit 17,2 L/p/j — inférieur au minimum OMS de 20 L/p/j. On retient donc 20 L/p/j comme base de conception.</t>
        </is>
      </c>
    </row>
    <row r="28" ht="16" customHeight="1">
      <c r="A28" s="19" t="inlineStr">
        <is>
          <t>⚠ Les 15 % de pertes réseau sont estimés selon les standards WASH (réseaux ruraux neufs : 10–20 %). Taux conservateur.</t>
        </is>
      </c>
    </row>
    <row r="30" ht="24" customHeight="1">
      <c r="A30" s="3" t="inlineStr">
        <is>
          <t>SECTION 2 — CONCEPTION TECHNIQUE DU RÉSEAU</t>
        </is>
      </c>
    </row>
    <row r="31" ht="20" customHeight="1">
      <c r="A31" s="14" t="inlineStr">
        <is>
          <t>2.1  Stratégie générale — gravité et bornes-fontaines publiques</t>
        </is>
      </c>
    </row>
    <row r="32" ht="30" customHeight="1">
      <c r="A32" s="15" t="inlineStr">
        <is>
          <t>Puisque 98 % des foyers sont sous 373 m NGF, l'eau coule naturellement du réservoir : l'option la plus fiable et la moins chère en Afrique rurale (pas d'électricité, pas de panne de pompe). 5 bornes-fontaines publiques desservent chacune ~200 personnes dans un rayon de 500 m (norme Sphere/OMS).</t>
        </is>
      </c>
    </row>
    <row r="33" ht="20" customHeight="1">
      <c r="A33" s="14" t="inlineStr">
        <is>
          <t>2.2  Comment les 5 emplacements ont été choisis — algorithme de couverture</t>
        </is>
      </c>
    </row>
    <row r="34" ht="30" customHeight="1">
      <c r="A34" s="15" t="inlineStr">
        <is>
          <t>Un algorithme glouton (greedy coverage) analyse les positions GPS des 170 foyers. Principe : on place la 1ère borne là où elle couvre le plus de personnes dans un rayon de 500 m, on marque ces personnes comme desservies, et on recommence. En 5 itérations on atteint 94.4 % de couverture.</t>
        </is>
      </c>
    </row>
    <row r="35" ht="26" customHeight="1">
      <c r="A35" s="4" t="inlineStr">
        <is>
          <t>BF</t>
        </is>
      </c>
      <c r="B35" s="5" t="inlineStr">
        <is>
          <t>Distance réservoir</t>
        </is>
      </c>
      <c r="C35" s="5" t="inlineStr">
        <is>
          <t>Population couverte</t>
        </is>
      </c>
      <c r="D35" s="5" t="inlineStr">
        <is>
          <t>Altitude</t>
        </is>
      </c>
      <c r="E35" s="5" t="inlineStr">
        <is>
          <t>Alimentation</t>
        </is>
      </c>
    </row>
    <row r="36">
      <c r="A36" s="16" t="inlineStr">
        <is>
          <t>BF1</t>
        </is>
      </c>
      <c r="B36" s="17" t="inlineStr">
        <is>
          <t>1308 m</t>
        </is>
      </c>
      <c r="C36" s="17" t="inlineStr">
        <is>
          <t>364 pers. (35%)</t>
        </is>
      </c>
      <c r="D36" s="17" t="inlineStr">
        <is>
          <t>363 m NGF</t>
        </is>
      </c>
      <c r="E36" s="18" t="inlineStr">
        <is>
          <t>✓ Gravité</t>
        </is>
      </c>
    </row>
    <row r="37">
      <c r="A37" s="16" t="inlineStr">
        <is>
          <t>BF2</t>
        </is>
      </c>
      <c r="B37" s="17" t="inlineStr">
        <is>
          <t>529 m</t>
        </is>
      </c>
      <c r="C37" s="17" t="inlineStr">
        <is>
          <t>194 pers. (19%)</t>
        </is>
      </c>
      <c r="D37" s="17" t="inlineStr">
        <is>
          <t>361 m NGF</t>
        </is>
      </c>
      <c r="E37" s="18" t="inlineStr">
        <is>
          <t>✓ Gravité</t>
        </is>
      </c>
    </row>
    <row r="38">
      <c r="A38" s="16" t="inlineStr">
        <is>
          <t>BF3</t>
        </is>
      </c>
      <c r="B38" s="17" t="inlineStr">
        <is>
          <t>1728 m</t>
        </is>
      </c>
      <c r="C38" s="17" t="inlineStr">
        <is>
          <t>188 pers. (18%)</t>
        </is>
      </c>
      <c r="D38" s="17" t="inlineStr">
        <is>
          <t>350 m NGF</t>
        </is>
      </c>
      <c r="E38" s="18" t="inlineStr">
        <is>
          <t>✓ Gravité</t>
        </is>
      </c>
    </row>
    <row r="39">
      <c r="A39" s="16" t="inlineStr">
        <is>
          <t>BF4</t>
        </is>
      </c>
      <c r="B39" s="17" t="inlineStr">
        <is>
          <t>991 m</t>
        </is>
      </c>
      <c r="C39" s="17" t="inlineStr">
        <is>
          <t>165 pers. (16%)</t>
        </is>
      </c>
      <c r="D39" s="17" t="inlineStr">
        <is>
          <t>350 m NGF</t>
        </is>
      </c>
      <c r="E39" s="18" t="inlineStr">
        <is>
          <t>✓ Gravité</t>
        </is>
      </c>
    </row>
    <row r="40">
      <c r="A40" s="16" t="inlineStr">
        <is>
          <t>BF5</t>
        </is>
      </c>
      <c r="B40" s="17" t="inlineStr">
        <is>
          <t>752 m</t>
        </is>
      </c>
      <c r="C40" s="17" t="inlineStr">
        <is>
          <t>62 pers. (6%)</t>
        </is>
      </c>
      <c r="D40" s="17" t="inlineStr">
        <is>
          <t>354 m NGF</t>
        </is>
      </c>
      <c r="E40" s="18" t="inlineStr">
        <is>
          <t>✓ Gravité</t>
        </is>
      </c>
    </row>
    <row r="41">
      <c r="A41" s="8" t="inlineStr">
        <is>
          <t>TOTAL</t>
        </is>
      </c>
      <c r="B41" s="9" t="inlineStr"/>
      <c r="C41" s="9" t="inlineStr">
        <is>
          <t>973 / 1 031 personnes (94.4%)</t>
        </is>
      </c>
      <c r="D41" s="9" t="inlineStr"/>
      <c r="E41" s="20" t="inlineStr"/>
    </row>
    <row r="42" ht="20" customHeight="1">
      <c r="A42" s="14" t="inlineStr">
        <is>
          <t>2.3  Calcul des débits</t>
        </is>
      </c>
    </row>
    <row r="43" ht="16" customHeight="1">
      <c r="A43" s="15" t="inlineStr">
        <is>
          <t>On calcule le débit de pointe (matin + soir) avec un facteur de pointe horaire de 2, en supposant la consommation concentrée sur 12 h.</t>
        </is>
      </c>
    </row>
    <row r="44" ht="26" customHeight="1">
      <c r="A44" s="4" t="inlineStr">
        <is>
          <t>Étape</t>
        </is>
      </c>
      <c r="B44" s="5" t="inlineStr">
        <is>
          <t>Calcul</t>
        </is>
      </c>
      <c r="C44" s="5" t="inlineStr">
        <is>
          <t>Résultat</t>
        </is>
      </c>
    </row>
    <row r="45">
      <c r="A45" s="16" t="inlineStr">
        <is>
          <t>Débit moyen (24 h)</t>
        </is>
      </c>
      <c r="B45" s="17" t="inlineStr">
        <is>
          <t>19 460 L/j ÷ 86 400 s</t>
        </is>
      </c>
      <c r="C45" s="18" t="inlineStr">
        <is>
          <t>0.225 L/s</t>
        </is>
      </c>
    </row>
    <row r="46">
      <c r="A46" s="16" t="inlineStr">
        <is>
          <t>Débit sur 12 h</t>
        </is>
      </c>
      <c r="B46" s="17" t="inlineStr">
        <is>
          <t>19 460 L/j ÷ 43 200 s</t>
        </is>
      </c>
      <c r="C46" s="18" t="inlineStr">
        <is>
          <t>0.450 L/s</t>
        </is>
      </c>
    </row>
    <row r="47">
      <c r="A47" s="16" t="inlineStr">
        <is>
          <t>Débit de conception (×2)</t>
        </is>
      </c>
      <c r="B47" s="17" t="inlineStr">
        <is>
          <t>0.450 × 2 (PHF)</t>
        </is>
      </c>
      <c r="C47" s="18" t="inlineStr">
        <is>
          <t>0.901 L/s</t>
        </is>
      </c>
    </row>
    <row r="48">
      <c r="A48" s="16" t="inlineStr">
        <is>
          <t>Vérification réservoir</t>
        </is>
      </c>
      <c r="B48" s="17" t="inlineStr">
        <is>
          <t>37 000 L/j ÷ 86 400 s</t>
        </is>
      </c>
      <c r="C48" s="18" t="inlineStr">
        <is>
          <t>0,428 L/s</t>
        </is>
      </c>
    </row>
    <row r="49" ht="20" customHeight="1">
      <c r="A49" s="14" t="inlineStr">
        <is>
          <t>2.4  Dimensionnement des tuyaux — Hazen-Williams</t>
        </is>
      </c>
    </row>
    <row r="50" ht="16" customHeight="1">
      <c r="A50" s="15" t="inlineStr">
        <is>
          <t>Pour chaque tronçon on choisit le plus petit diamètre qui maintient une vitesse correcte et garantit ≥ 5 m de pression à la borne. Tuyaux HDPE PN10 (durée de vie 25–50 ans). hf = 10,67 × L × Q^1,852 / (C^1,852 × D^4,87).</t>
        </is>
      </c>
    </row>
    <row r="51" ht="26" customHeight="1">
      <c r="A51" s="4" t="inlineStr">
        <is>
          <t>Tronçon</t>
        </is>
      </c>
      <c r="B51" s="5" t="inlineStr">
        <is>
          <t>L (m)</t>
        </is>
      </c>
      <c r="C51" s="5" t="inlineStr">
        <is>
          <t>Q (L/s)</t>
        </is>
      </c>
      <c r="D51" s="5" t="inlineStr">
        <is>
          <t>Diamètre</t>
        </is>
      </c>
      <c r="E51" s="5" t="inlineStr">
        <is>
          <t>V (m/s)</t>
        </is>
      </c>
      <c r="F51" s="5" t="inlineStr">
        <is>
          <t>hf (m)</t>
        </is>
      </c>
      <c r="G51" s="5" t="inlineStr">
        <is>
          <t>Pression aval (m CE)</t>
        </is>
      </c>
    </row>
    <row r="52">
      <c r="A52" s="16" t="inlineStr">
        <is>
          <t>RES → BF2</t>
        </is>
      </c>
      <c r="B52" s="17" t="inlineStr">
        <is>
          <t>529</t>
        </is>
      </c>
      <c r="C52" s="17" t="inlineStr">
        <is>
          <t>0.200</t>
        </is>
      </c>
      <c r="D52" s="17" t="inlineStr">
        <is>
          <t>DN50</t>
        </is>
      </c>
      <c r="E52" s="17" t="inlineStr">
        <is>
          <t>0.159</t>
        </is>
      </c>
      <c r="F52" s="17" t="inlineStr">
        <is>
          <t>0.580</t>
        </is>
      </c>
      <c r="G52" s="17" t="inlineStr">
        <is>
          <t>11.4 ✓</t>
        </is>
      </c>
    </row>
    <row r="53">
      <c r="A53" s="16" t="inlineStr">
        <is>
          <t>RES → BF3</t>
        </is>
      </c>
      <c r="B53" s="17" t="inlineStr">
        <is>
          <t>1728</t>
        </is>
      </c>
      <c r="C53" s="17" t="inlineStr">
        <is>
          <t>0.200</t>
        </is>
      </c>
      <c r="D53" s="17" t="inlineStr">
        <is>
          <t>DN40</t>
        </is>
      </c>
      <c r="E53" s="17" t="inlineStr">
        <is>
          <t>0.159</t>
        </is>
      </c>
      <c r="F53" s="17" t="inlineStr">
        <is>
          <t>1.896</t>
        </is>
      </c>
      <c r="G53" s="17" t="inlineStr">
        <is>
          <t>21.1 ⚠ PRV</t>
        </is>
      </c>
    </row>
    <row r="54">
      <c r="A54" s="16" t="inlineStr">
        <is>
          <t>RES → BF4</t>
        </is>
      </c>
      <c r="B54" s="17" t="inlineStr">
        <is>
          <t>991</t>
        </is>
      </c>
      <c r="C54" s="17" t="inlineStr">
        <is>
          <t>0.200</t>
        </is>
      </c>
      <c r="D54" s="17" t="inlineStr">
        <is>
          <t>DN40</t>
        </is>
      </c>
      <c r="E54" s="17" t="inlineStr">
        <is>
          <t>0.159</t>
        </is>
      </c>
      <c r="F54" s="17" t="inlineStr">
        <is>
          <t>1.088</t>
        </is>
      </c>
      <c r="G54" s="17" t="inlineStr">
        <is>
          <t>21.9 ⚠ PRV</t>
        </is>
      </c>
    </row>
    <row r="55">
      <c r="A55" s="16" t="inlineStr">
        <is>
          <t>RES → BF5</t>
        </is>
      </c>
      <c r="B55" s="17" t="inlineStr">
        <is>
          <t>752</t>
        </is>
      </c>
      <c r="C55" s="17" t="inlineStr">
        <is>
          <t>0.394</t>
        </is>
      </c>
      <c r="D55" s="17" t="inlineStr">
        <is>
          <t>DN63</t>
        </is>
      </c>
      <c r="E55" s="17" t="inlineStr">
        <is>
          <t>0.127</t>
        </is>
      </c>
      <c r="F55" s="17" t="inlineStr">
        <is>
          <t>0.318</t>
        </is>
      </c>
      <c r="G55" s="17" t="inlineStr">
        <is>
          <t>18.7 ✓</t>
        </is>
      </c>
    </row>
    <row r="56">
      <c r="A56" s="16" t="inlineStr">
        <is>
          <t>BF5 → BF1</t>
        </is>
      </c>
      <c r="B56" s="17" t="inlineStr">
        <is>
          <t>556</t>
        </is>
      </c>
      <c r="C56" s="17" t="inlineStr">
        <is>
          <t>0.337</t>
        </is>
      </c>
      <c r="D56" s="17" t="inlineStr">
        <is>
          <t>DN50</t>
        </is>
      </c>
      <c r="E56" s="17" t="inlineStr">
        <is>
          <t>0.172</t>
        </is>
      </c>
      <c r="F56" s="17" t="inlineStr">
        <is>
          <t>0.541</t>
        </is>
      </c>
      <c r="G56" s="17" t="inlineStr">
        <is>
          <t>8.5 ✓</t>
        </is>
      </c>
    </row>
    <row r="57" ht="16" customHeight="1">
      <c r="A57" s="19" t="inlineStr">
        <is>
          <t>⚠ PRV = réducteur de pression (~130 €) : installé là où la pression dépasse 20 m CE pour protéger les robinets.</t>
        </is>
      </c>
    </row>
    <row r="58" ht="20" customHeight="1">
      <c r="A58" s="14" t="inlineStr">
        <is>
          <t>2.5  Pompe de relevage — foyers impossibles par gravité</t>
        </is>
      </c>
    </row>
    <row r="59" ht="16" customHeight="1">
      <c r="A59" s="15" t="inlineStr">
        <is>
          <t>3 foyers sont à 375–378 m NGF, au-dessus de la base de cuve (373 m). Une petite pompe solaire installée à 370 m NGF refoule l'eau sur 200 m. Fonctionne 2 h/matin. Énergie solaire = OPEX nul.</t>
        </is>
      </c>
    </row>
    <row r="60" ht="26" customHeight="1">
      <c r="A60" s="4" t="inlineStr">
        <is>
          <t>Calcul</t>
        </is>
      </c>
      <c r="B60" s="5" t="inlineStr">
        <is>
          <t>Détail</t>
        </is>
      </c>
      <c r="C60" s="5" t="inlineStr">
        <is>
          <t>Résultat</t>
        </is>
      </c>
    </row>
    <row r="61">
      <c r="A61" s="16" t="inlineStr">
        <is>
          <t>Demande des foyers</t>
        </is>
      </c>
      <c r="B61" s="17" t="inlineStr">
        <is>
          <t>3 × 6 × 20 L/j</t>
        </is>
      </c>
      <c r="C61" s="18" t="inlineStr">
        <is>
          <t>320 L/jour</t>
        </is>
      </c>
    </row>
    <row r="62">
      <c r="A62" s="16" t="inlineStr">
        <is>
          <t>Hauteur à pomper (Hm)</t>
        </is>
      </c>
      <c r="B62" s="17" t="inlineStr">
        <is>
          <t>Δz(8) + pression(5) + pertes(2)</t>
        </is>
      </c>
      <c r="C62" s="18" t="inlineStr">
        <is>
          <t>28 m</t>
        </is>
      </c>
    </row>
    <row r="63">
      <c r="A63" s="16" t="inlineStr">
        <is>
          <t>Débit pompe (sur 2 h)</t>
        </is>
      </c>
      <c r="B63" s="17" t="inlineStr">
        <is>
          <t>320 L ÷ 7 200 s</t>
        </is>
      </c>
      <c r="C63" s="18" t="inlineStr">
        <is>
          <t>0.044 L/s</t>
        </is>
      </c>
    </row>
    <row r="64">
      <c r="A64" s="16" t="inlineStr">
        <is>
          <t>Puissance hydraulique</t>
        </is>
      </c>
      <c r="B64" s="17" t="inlineStr">
        <is>
          <t>P = ρ·g·Q·Hm</t>
        </is>
      </c>
      <c r="C64" s="18" t="inlineStr">
        <is>
          <t>12.2 W</t>
        </is>
      </c>
    </row>
    <row r="65">
      <c r="A65" s="16" t="inlineStr">
        <is>
          <t>Puissance réelle (η=55%)</t>
        </is>
      </c>
      <c r="B65" s="17" t="inlineStr">
        <is>
          <t>12.2 W ÷ 0,55</t>
        </is>
      </c>
      <c r="C65" s="18" t="inlineStr">
        <is>
          <t>22.2 W</t>
        </is>
      </c>
    </row>
    <row r="66" ht="16" customHeight="1">
      <c r="A66" s="12" t="inlineStr">
        <is>
          <t>ℹ CAPEX pompe : 600 € (pompe+panneau+batterie) + 2 000 € (200 m DN25) = 2 600 €. OPEX : 0 €/an grâce au solaire.</t>
        </is>
      </c>
    </row>
    <row r="68" ht="24" customHeight="1">
      <c r="A68" s="3" t="inlineStr">
        <is>
          <t>SECTION 3 — ÉTUDE FINANCIÈRE</t>
        </is>
      </c>
    </row>
    <row r="69" ht="20" customHeight="1">
      <c r="A69" s="14" t="inlineStr">
        <is>
          <t>3.1  Comment chaque coût a été estimé</t>
        </is>
      </c>
    </row>
    <row r="70" ht="16" customHeight="1">
      <c r="A70" s="15" t="inlineStr">
        <is>
          <t>Prix = estimations régionales Afrique de l'Ouest (WASHCost Burkina Faso 2019, IRC WASH Costing 2021). Aucune base officielle Guinée publique : à valider avec un fournisseur local. Marge d'imprévus de 5 % incluse.</t>
        </is>
      </c>
    </row>
    <row r="71" ht="26" customHeight="1">
      <c r="A71" s="4" t="inlineStr">
        <is>
          <t>Poste de dépense</t>
        </is>
      </c>
      <c r="B71" s="5" t="inlineStr">
        <is>
          <t>Montant</t>
        </is>
      </c>
      <c r="C71" s="5" t="inlineStr">
        <is>
          <t>Justification</t>
        </is>
      </c>
    </row>
    <row r="72">
      <c r="A72" s="16" t="inlineStr">
        <is>
          <t>Réseau de conduites posées, coût par diamètre réel</t>
        </is>
      </c>
      <c r="B72" s="17" t="inlineStr">
        <is>
          <t>143 237 €</t>
        </is>
      </c>
      <c r="C72" s="18" t="inlineStr">
        <is>
          <t>Benchmark AO (WASHCost / IRC WASH) — algorithme pour la longueur réseau</t>
        </is>
      </c>
    </row>
    <row r="73">
      <c r="A73" s="16" t="inlineStr">
        <is>
          <t>5 bornes-fontaines (dalle + 2 robinets + drainage)</t>
        </is>
      </c>
      <c r="B73" s="17" t="inlineStr">
        <is>
          <t>13 700 €</t>
        </is>
      </c>
      <c r="C73" s="18" t="inlineStr">
        <is>
          <t>Benchmark AO (WASHCost / IRC WASH) — algorithme pour la longueur réseau</t>
        </is>
      </c>
    </row>
    <row r="74">
      <c r="A74" s="16" t="inlineStr">
        <is>
          <t>Vannes + ventouses + regards béton (forfait)</t>
        </is>
      </c>
      <c r="B74" s="17" t="inlineStr">
        <is>
          <t>3 500 €</t>
        </is>
      </c>
      <c r="C74" s="18" t="inlineStr">
        <is>
          <t>Benchmark AO (WASHCost / IRC WASH) — algorithme pour la longueur réseau</t>
        </is>
      </c>
    </row>
    <row r="75">
      <c r="A75" s="16" t="inlineStr">
        <is>
          <t>2 réducteurs de pression PRV DN40</t>
        </is>
      </c>
      <c r="B75" s="17" t="inlineStr">
        <is>
          <t>260 €</t>
        </is>
      </c>
      <c r="C75" s="18" t="inlineStr">
        <is>
          <t>Benchmark AO (WASHCost / IRC WASH) — algorithme pour la longueur réseau</t>
        </is>
      </c>
    </row>
    <row r="76">
      <c r="A76" s="16" t="inlineStr">
        <is>
          <t>Chlorateur gravitaire en sortie de réservoir</t>
        </is>
      </c>
      <c r="B76" s="17" t="inlineStr">
        <is>
          <t>500 €</t>
        </is>
      </c>
      <c r="C76" s="18" t="inlineStr">
        <is>
          <t>Benchmark AO (WASHCost / IRC WASH) — algorithme pour la longueur réseau</t>
        </is>
      </c>
    </row>
    <row r="77">
      <c r="A77" s="16" t="inlineStr">
        <is>
          <t>Surcoût augmentation diamètre, par exemple DN40 → DN50</t>
        </is>
      </c>
      <c r="B77" s="17" t="inlineStr">
        <is>
          <t>4 512 €</t>
        </is>
      </c>
      <c r="C77" s="18" t="inlineStr">
        <is>
          <t>Benchmark AO (WASHCost / IRC WASH) — algorithme pour la longueur réseau</t>
        </is>
      </c>
    </row>
    <row r="78">
      <c r="A78" s="16" t="inlineStr">
        <is>
          <t>Pompes booster solaires ciblées</t>
        </is>
      </c>
      <c r="B78" s="17" t="inlineStr">
        <is>
          <t>3 600 €</t>
        </is>
      </c>
      <c r="C78" s="18" t="inlineStr">
        <is>
          <t>Benchmark AO (WASHCost / IRC WASH) — algorithme pour la longueur réseau</t>
        </is>
      </c>
    </row>
    <row r="79">
      <c r="A79" s="16" t="inlineStr">
        <is>
          <t>Pompe solaire de relevage + panneau + batterie</t>
        </is>
      </c>
      <c r="B79" s="17" t="inlineStr">
        <is>
          <t>600 €</t>
        </is>
      </c>
      <c r="C79" s="18" t="inlineStr">
        <is>
          <t>Benchmark AO (WASHCost / IRC WASH) — algorithme pour la longueur réseau</t>
        </is>
      </c>
    </row>
    <row r="80">
      <c r="A80" s="16" t="inlineStr">
        <is>
          <t>Conduite DN25 pompe de relevage (200 m)</t>
        </is>
      </c>
      <c r="B80" s="17" t="inlineStr">
        <is>
          <t>2 000 €</t>
        </is>
      </c>
      <c r="C80" s="18" t="inlineStr">
        <is>
          <t>Benchmark AO (WASHCost / IRC WASH) — algorithme pour la longueur réseau</t>
        </is>
      </c>
    </row>
    <row r="81">
      <c r="A81" s="16" t="inlineStr">
        <is>
          <t>Études + topographie + supervision chantier</t>
        </is>
      </c>
      <c r="B81" s="17" t="inlineStr">
        <is>
          <t>7 500 €</t>
        </is>
      </c>
      <c r="C81" s="18" t="inlineStr">
        <is>
          <t>Benchmark AO (WASHCost / IRC WASH) — algorithme pour la longueur réseau</t>
        </is>
      </c>
    </row>
    <row r="82">
      <c r="A82" s="16" t="inlineStr">
        <is>
          <t>Formation de 3 techniciens locaux</t>
        </is>
      </c>
      <c r="B82" s="17" t="inlineStr">
        <is>
          <t>1 200 €</t>
        </is>
      </c>
      <c r="C82" s="18" t="inlineStr">
        <is>
          <t>Benchmark AO (WASHCost / IRC WASH) — algorithme pour la longueur réseau</t>
        </is>
      </c>
    </row>
    <row r="83">
      <c r="A83" s="16" t="inlineStr">
        <is>
          <t>Imprévus (5%)</t>
        </is>
      </c>
      <c r="B83" s="17" t="inlineStr">
        <is>
          <t>9 030 €</t>
        </is>
      </c>
      <c r="C83" s="18" t="inlineStr">
        <is>
          <t>Benchmark AO (WASHCost / IRC WASH) — algorithme pour la longueur réseau</t>
        </is>
      </c>
    </row>
    <row r="84">
      <c r="A84" s="8" t="inlineStr">
        <is>
          <t>CAPEX TOTAL</t>
        </is>
      </c>
      <c r="B84" s="9" t="inlineStr">
        <is>
          <t>189 639 €</t>
        </is>
      </c>
      <c r="C84" s="20" t="inlineStr">
        <is>
          <t>220 000 € disponibles → marge 30 361 €</t>
        </is>
      </c>
    </row>
    <row r="85" ht="20" customHeight="1">
      <c r="A85" s="14" t="inlineStr">
        <is>
          <t>3.2  Coûts annuels d'exploitation (OPEX)</t>
        </is>
      </c>
    </row>
    <row r="86" ht="26" customHeight="1">
      <c r="A86" s="4" t="inlineStr">
        <is>
          <t>Poste annuel</t>
        </is>
      </c>
      <c r="B86" s="5" t="inlineStr">
        <is>
          <t>Coût / an</t>
        </is>
      </c>
      <c r="C86" s="5" t="inlineStr">
        <is>
          <t>Explication</t>
        </is>
      </c>
    </row>
    <row r="87">
      <c r="A87" s="16" t="inlineStr">
        <is>
          <t>Salaire fontainier / opérateur local (90 €/mois)</t>
        </is>
      </c>
      <c r="B87" s="17" t="inlineStr">
        <is>
          <t>1 080 €</t>
        </is>
      </c>
      <c r="C87" s="18" t="inlineStr"/>
    </row>
    <row r="88">
      <c r="A88" s="16" t="inlineStr">
        <is>
          <t>Chlore et produits de traitement</t>
        </is>
      </c>
      <c r="B88" s="17" t="inlineStr">
        <is>
          <t>300 €</t>
        </is>
      </c>
      <c r="C88" s="18" t="inlineStr"/>
    </row>
    <row r="89">
      <c r="A89" s="16" t="inlineStr">
        <is>
          <t>Maintenance préventive du réseau</t>
        </is>
      </c>
      <c r="B89" s="17" t="inlineStr">
        <is>
          <t>600 €</t>
        </is>
      </c>
      <c r="C89" s="18" t="inlineStr"/>
    </row>
    <row r="90">
      <c r="A90" s="16" t="inlineStr">
        <is>
          <t>Stock de pièces de rechange</t>
        </is>
      </c>
      <c r="B90" s="17" t="inlineStr">
        <is>
          <t>500 €</t>
        </is>
      </c>
      <c r="C90" s="18" t="inlineStr"/>
    </row>
    <row r="91">
      <c r="A91" s="16" t="inlineStr">
        <is>
          <t>Provision réhabilitation lourde à 10 ans</t>
        </is>
      </c>
      <c r="B91" s="17" t="inlineStr">
        <is>
          <t>1 500 €</t>
        </is>
      </c>
      <c r="C91" s="18" t="inlineStr"/>
    </row>
    <row r="92">
      <c r="A92" s="16" t="inlineStr">
        <is>
          <t>Analyses qualité de l’eau (2×/an)</t>
        </is>
      </c>
      <c r="B92" s="17" t="inlineStr">
        <is>
          <t>150 €</t>
        </is>
      </c>
      <c r="C92" s="18" t="inlineStr"/>
    </row>
    <row r="93">
      <c r="A93" s="16" t="inlineStr">
        <is>
          <t>Remplacement / amortissement compteurs</t>
        </is>
      </c>
      <c r="B93" s="17" t="inlineStr">
        <is>
          <t>200 €</t>
        </is>
      </c>
      <c r="C93" s="18" t="inlineStr"/>
    </row>
    <row r="94">
      <c r="A94" s="16" t="inlineStr">
        <is>
          <t>Énergie pompe solaire principale</t>
        </is>
      </c>
      <c r="B94" s="17" t="inlineStr">
        <is>
          <t>0 €</t>
        </is>
      </c>
      <c r="C94" s="18" t="inlineStr"/>
    </row>
    <row r="95">
      <c r="A95" s="16" t="inlineStr">
        <is>
          <t>Maintenance annuelle de 2 pompe(s) booster</t>
        </is>
      </c>
      <c r="B95" s="17" t="inlineStr">
        <is>
          <t>100 €</t>
        </is>
      </c>
      <c r="C95" s="18" t="inlineStr"/>
    </row>
    <row r="96">
      <c r="A96" s="8" t="inlineStr">
        <is>
          <t>OPEX TOTAL / AN</t>
        </is>
      </c>
      <c r="B96" s="9" t="inlineStr">
        <is>
          <t>4 430 €</t>
        </is>
      </c>
      <c r="C96" s="20" t="inlineStr">
        <is>
          <t>4.6 €/personne/an</t>
        </is>
      </c>
    </row>
    <row r="97" ht="20" customHeight="1">
      <c r="A97" s="14" t="inlineStr">
        <is>
          <t>3.3  Bilan financier sur 20 ans</t>
        </is>
      </c>
    </row>
    <row r="98" ht="26" customHeight="1">
      <c r="A98" s="4" t="inlineStr">
        <is>
          <t>Poste</t>
        </is>
      </c>
      <c r="B98" s="5" t="inlineStr">
        <is>
          <t>Montant</t>
        </is>
      </c>
      <c r="C98" s="5" t="inlineStr">
        <is>
          <t>Calcul</t>
        </is>
      </c>
    </row>
    <row r="99">
      <c r="A99" s="16" t="inlineStr">
        <is>
          <t>CAPEX (investissement initial)</t>
        </is>
      </c>
      <c r="B99" s="17" t="inlineStr">
        <is>
          <t>189 639 €</t>
        </is>
      </c>
      <c r="C99" s="18" t="inlineStr">
        <is>
          <t>—</t>
        </is>
      </c>
    </row>
    <row r="100">
      <c r="A100" s="16" t="inlineStr">
        <is>
          <t>OPEX cumulé sur 20 ans</t>
        </is>
      </c>
      <c r="B100" s="17" t="inlineStr">
        <is>
          <t>88 600 €</t>
        </is>
      </c>
      <c r="C100" s="18" t="inlineStr">
        <is>
          <t>4 430 €/an × 20 ans</t>
        </is>
      </c>
    </row>
    <row r="101">
      <c r="A101" s="8" t="inlineStr">
        <is>
          <t>TOTAL cycle de vie 20 ans</t>
        </is>
      </c>
      <c r="B101" s="9" t="inlineStr">
        <is>
          <t>278 239 €</t>
        </is>
      </c>
      <c r="C101" s="20" t="inlineStr">
        <is>
          <t>189 639 € + 88 600 €</t>
        </is>
      </c>
    </row>
    <row r="102">
      <c r="A102" s="16" t="inlineStr">
        <is>
          <t>Coût par personne desservie</t>
        </is>
      </c>
      <c r="B102" s="17" t="inlineStr">
        <is>
          <t>286 €/personne</t>
        </is>
      </c>
      <c r="C102" s="18" t="inlineStr">
        <is>
          <t>278 239 € ÷ 973 pers.</t>
        </is>
      </c>
    </row>
    <row r="103" ht="16" customHeight="1">
      <c r="A103" s="19" t="inlineStr">
        <is>
          <t>⚠ Incertitude ±30 % sur les coûts (benchmarks AO non vérifiés en Guinée). Scénario pessimiste (CAPEX ×1,3) ≈ 222 750 € — légèrement au-dessus du budget.</t>
        </is>
      </c>
    </row>
    <row r="105" ht="24" customHeight="1">
      <c r="A105" s="3" t="inlineStr">
        <is>
          <t>SECTION 4 — PLAN DE MISE EN ŒUVRE</t>
        </is>
      </c>
    </row>
    <row r="106" ht="20" customHeight="1">
      <c r="A106" s="14" t="inlineStr">
        <is>
          <t>4.1  Calendrier prévisionnel — 4 à 5 mois</t>
        </is>
      </c>
    </row>
    <row r="107" ht="26" customHeight="1">
      <c r="A107" s="4" t="inlineStr">
        <is>
          <t>Phase</t>
        </is>
      </c>
      <c r="B107" s="5" t="inlineStr">
        <is>
          <t>Durée</t>
        </is>
      </c>
      <c r="C107" s="5" t="inlineStr">
        <is>
          <t>Activités principales</t>
        </is>
      </c>
      <c r="D107" s="5" t="inlineStr">
        <is>
          <t>Ressources</t>
        </is>
      </c>
    </row>
    <row r="108">
      <c r="A108" s="16" t="inlineStr">
        <is>
          <t>1 — Préparation</t>
        </is>
      </c>
      <c r="B108" s="17" t="inlineStr">
        <is>
          <t>1 mois</t>
        </is>
      </c>
      <c r="C108" s="17" t="inlineStr">
        <is>
          <t>Levé GPS, plans d'exécution, commande matériaux</t>
        </is>
      </c>
      <c r="D108" s="18" t="inlineStr">
        <is>
          <t>Topographe + chef projet</t>
        </is>
      </c>
    </row>
    <row r="109">
      <c r="A109" s="16" t="inlineStr">
        <is>
          <t>2 — Terrassement</t>
        </is>
      </c>
      <c r="B109" s="17" t="inlineStr">
        <is>
          <t>1,5 mois</t>
        </is>
      </c>
      <c r="C109" s="17" t="inlineStr">
        <is>
          <t>Fouille tranchées, pose conduites DN50/DN40, remblayage</t>
        </is>
      </c>
      <c r="D109" s="18" t="inlineStr">
        <is>
          <t>20 manœuvres + 3 plombiers</t>
        </is>
      </c>
    </row>
    <row r="110">
      <c r="A110" s="16" t="inlineStr">
        <is>
          <t>3 — Équipements</t>
        </is>
      </c>
      <c r="B110" s="17" t="inlineStr">
        <is>
          <t>1 mois</t>
        </is>
      </c>
      <c r="C110" s="17" t="inlineStr">
        <is>
          <t>Pose des 5 BF, vannes, PRV, chlorateur</t>
        </is>
      </c>
      <c r="D110" s="18" t="inlineStr">
        <is>
          <t>3 plombiers + 1 maçon</t>
        </is>
      </c>
    </row>
    <row r="111">
      <c r="A111" s="16" t="inlineStr">
        <is>
          <t>4 — Pompe et tests</t>
        </is>
      </c>
      <c r="B111" s="17" t="inlineStr">
        <is>
          <t>0,5 mois</t>
        </is>
      </c>
      <c r="C111" s="17" t="inlineStr">
        <is>
          <t>Pompe solaire + DN25, mise en eau, essais pression</t>
        </is>
      </c>
      <c r="D111" s="18" t="inlineStr">
        <is>
          <t>1 électricien + 2 plombiers</t>
        </is>
      </c>
    </row>
    <row r="112">
      <c r="A112" s="16" t="inlineStr">
        <is>
          <t>5 — Formation</t>
        </is>
      </c>
      <c r="B112" s="17" t="inlineStr">
        <is>
          <t>0,5 mois</t>
        </is>
      </c>
      <c r="C112" s="17" t="inlineStr">
        <is>
          <t>Formation 3 techniciens, sensibilisation, remise dossier</t>
        </is>
      </c>
      <c r="D112" s="18" t="inlineStr">
        <is>
          <t>1 formateur + équipe</t>
        </is>
      </c>
    </row>
    <row r="114" ht="24" customHeight="1">
      <c r="A114" s="3" t="inlineStr">
        <is>
          <t>SECTION 5 — ENTRETIEN ET DURABILITÉ</t>
        </is>
      </c>
    </row>
    <row r="115" ht="20" customHeight="1">
      <c r="A115" s="14" t="inlineStr">
        <is>
          <t>5.1  Stratégie de durabilité sur 20 ans</t>
        </is>
      </c>
    </row>
    <row r="116" ht="30" customHeight="1">
      <c r="A116" s="15" t="inlineStr">
        <is>
          <t>Les projets AEP ruraux échouent rarement pour des raisons techniques — c'est presque toujours la gouvernance et le financement de l'entretien. Notre réponse : (1) gravité sans pompe principale, (2) provision réhabilitation 1 500 €/an, (3) techniciens locaux formés pour des interventions rapides.</t>
        </is>
      </c>
    </row>
    <row r="117" ht="20" customHeight="1">
      <c r="A117" s="14" t="inlineStr">
        <is>
          <t>5.3  Gestion communautaire — modèle économique du comité eau</t>
        </is>
      </c>
    </row>
    <row r="118" ht="26" customHeight="1">
      <c r="A118" s="4" t="inlineStr">
        <is>
          <t>Paramètre</t>
        </is>
      </c>
      <c r="B118" s="5" t="inlineStr">
        <is>
          <t>Calcul</t>
        </is>
      </c>
      <c r="C118" s="5" t="inlineStr">
        <is>
          <t>Résultat</t>
        </is>
      </c>
    </row>
    <row r="119">
      <c r="A119" s="16" t="inlineStr">
        <is>
          <t>Volume facturé / an (85 %)</t>
        </is>
      </c>
      <c r="B119" s="17" t="inlineStr">
        <is>
          <t>20 m³/j × 365 × 0,85</t>
        </is>
      </c>
      <c r="C119" s="18" t="inlineStr">
        <is>
          <t>6 205 m³/an</t>
        </is>
      </c>
    </row>
    <row r="120">
      <c r="A120" s="16" t="inlineStr">
        <is>
          <t>Tarif minimum (OPEX seul)</t>
        </is>
      </c>
      <c r="B120" s="17" t="inlineStr">
        <is>
          <t>4 430 € ÷ 6 205 m³</t>
        </is>
      </c>
      <c r="C120" s="18" t="inlineStr">
        <is>
          <t>0.71 €/m³</t>
        </is>
      </c>
    </row>
    <row r="121">
      <c r="A121" s="16" t="inlineStr">
        <is>
          <t>Tarif recommandé (+ réhab.)</t>
        </is>
      </c>
      <c r="B121" s="17" t="inlineStr">
        <is>
          <t>(4 430 € + 1 500) ÷ 6 205</t>
        </is>
      </c>
      <c r="C121" s="18" t="inlineStr">
        <is>
          <t>0.96 €/m³</t>
        </is>
      </c>
    </row>
    <row r="122">
      <c r="A122" s="16" t="inlineStr">
        <is>
          <t>Part revenu ménage rural</t>
        </is>
      </c>
      <c r="B122" s="17" t="inlineStr">
        <is>
          <t>3,40 ÷ 80 €/mois</t>
        </is>
      </c>
      <c r="C122" s="18" t="inlineStr">
        <is>
          <t>&lt; 5 % ✓ abordable</t>
        </is>
      </c>
    </row>
    <row r="124" ht="24" customHeight="1">
      <c r="A124" s="3" t="inlineStr">
        <is>
          <t>SYNTHÈSE :  Budget respecté (189 639 € &lt; 220 000 €) · 94.4 % de la population desservie · Eau conforme OMS · Système gravitaire 24h/24 · Durée de vie HDPE 25–50 ans.</t>
        </is>
      </c>
    </row>
  </sheetData>
  <mergeCells count="112">
    <mergeCell ref="C83:G83"/>
    <mergeCell ref="A17:G17"/>
    <mergeCell ref="E40:G40"/>
    <mergeCell ref="C45:G45"/>
    <mergeCell ref="A68:G68"/>
    <mergeCell ref="A28:G28"/>
    <mergeCell ref="A117:G117"/>
    <mergeCell ref="D110:G110"/>
    <mergeCell ref="A9:G9"/>
    <mergeCell ref="C65:G65"/>
    <mergeCell ref="C47:G47"/>
    <mergeCell ref="C44:G44"/>
    <mergeCell ref="A30:G30"/>
    <mergeCell ref="A59:G59"/>
    <mergeCell ref="D109:G109"/>
    <mergeCell ref="A103:G103"/>
    <mergeCell ref="C21:G21"/>
    <mergeCell ref="C95:G95"/>
    <mergeCell ref="C60:G60"/>
    <mergeCell ref="D108:G108"/>
    <mergeCell ref="C71:G71"/>
    <mergeCell ref="D13:G13"/>
    <mergeCell ref="C23:G23"/>
    <mergeCell ref="C91:G91"/>
    <mergeCell ref="A105:G105"/>
    <mergeCell ref="A26:G26"/>
    <mergeCell ref="E35:G35"/>
    <mergeCell ref="D112:G112"/>
    <mergeCell ref="C101:G101"/>
    <mergeCell ref="C77:G77"/>
    <mergeCell ref="A116:G116"/>
    <mergeCell ref="C86:G86"/>
    <mergeCell ref="A8:G8"/>
    <mergeCell ref="A10:G10"/>
    <mergeCell ref="A115:G115"/>
    <mergeCell ref="C20:G20"/>
    <mergeCell ref="C100:G100"/>
    <mergeCell ref="A34:G34"/>
    <mergeCell ref="C94:G94"/>
    <mergeCell ref="C118:G118"/>
    <mergeCell ref="C75:G75"/>
    <mergeCell ref="C84:G84"/>
    <mergeCell ref="C22:G22"/>
    <mergeCell ref="A49:G49"/>
    <mergeCell ref="C80:G80"/>
    <mergeCell ref="A1:G1"/>
    <mergeCell ref="E38:G38"/>
    <mergeCell ref="E41:G41"/>
    <mergeCell ref="C46:G46"/>
    <mergeCell ref="A69:G69"/>
    <mergeCell ref="D11:G11"/>
    <mergeCell ref="C61:G61"/>
    <mergeCell ref="C48:G48"/>
    <mergeCell ref="C81:G81"/>
    <mergeCell ref="A57:G57"/>
    <mergeCell ref="C87:G87"/>
    <mergeCell ref="A5:G5"/>
    <mergeCell ref="A32:G32"/>
    <mergeCell ref="A97:G97"/>
    <mergeCell ref="A106:G106"/>
    <mergeCell ref="C24:G24"/>
    <mergeCell ref="A4:G4"/>
    <mergeCell ref="C89:G89"/>
    <mergeCell ref="D15:G15"/>
    <mergeCell ref="A43:G43"/>
    <mergeCell ref="C74:G74"/>
    <mergeCell ref="C88:G88"/>
    <mergeCell ref="A58:G58"/>
    <mergeCell ref="E36:G36"/>
    <mergeCell ref="C121:G121"/>
    <mergeCell ref="C25:G25"/>
    <mergeCell ref="C99:G99"/>
    <mergeCell ref="A124:G124"/>
    <mergeCell ref="A6:G6"/>
    <mergeCell ref="E37:G37"/>
    <mergeCell ref="D107:G107"/>
    <mergeCell ref="A66:G66"/>
    <mergeCell ref="C122:G122"/>
    <mergeCell ref="A18:G18"/>
    <mergeCell ref="C72:G72"/>
    <mergeCell ref="A50:G50"/>
    <mergeCell ref="A2:G2"/>
    <mergeCell ref="C96:G96"/>
    <mergeCell ref="C78:G78"/>
    <mergeCell ref="C92:G92"/>
    <mergeCell ref="D12:G12"/>
    <mergeCell ref="C62:G62"/>
    <mergeCell ref="C98:G98"/>
    <mergeCell ref="D14:G14"/>
    <mergeCell ref="C64:G64"/>
    <mergeCell ref="C79:G79"/>
    <mergeCell ref="C73:G73"/>
    <mergeCell ref="A31:G31"/>
    <mergeCell ref="A114:G114"/>
    <mergeCell ref="C63:G63"/>
    <mergeCell ref="C93:G93"/>
    <mergeCell ref="C90:G90"/>
    <mergeCell ref="D111:G111"/>
    <mergeCell ref="A70:G70"/>
    <mergeCell ref="C76:G76"/>
    <mergeCell ref="C120:G120"/>
    <mergeCell ref="A7:G7"/>
    <mergeCell ref="C119:G119"/>
    <mergeCell ref="C82:G82"/>
    <mergeCell ref="A27:G27"/>
    <mergeCell ref="E39:G39"/>
    <mergeCell ref="D16:G16"/>
    <mergeCell ref="C19:G19"/>
    <mergeCell ref="C102:G102"/>
    <mergeCell ref="A33:G33"/>
    <mergeCell ref="A85:G85"/>
    <mergeCell ref="A42:G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0.83203125" customWidth="1" min="3" max="3"/>
    <col width="15.6640625" customWidth="1" min="4" max="4"/>
    <col width="14" customWidth="1" min="5" max="5"/>
    <col width="18" customWidth="1" min="9" max="9"/>
    <col width="60.33203125" customWidth="1" min="10" max="10"/>
  </cols>
  <sheetData>
    <row r="1">
      <c r="A1" s="21" t="inlineStr">
        <is>
          <t>SOLUTION 1 — 5 bornes-fontaines gravitaires · Village Rural Guinée · Analyse basée sur RAW_DATA</t>
        </is>
      </c>
    </row>
    <row r="2">
      <c r="A2" s="22" t="inlineStr">
        <is>
          <t>Source de données : RAW_DATA (Map_village_20241227.xlsx) · 170 ménages · 1031 habitants · Réservoir base 373 m NGF</t>
        </is>
      </c>
    </row>
    <row r="3"/>
    <row r="4">
      <c r="A4" s="23" t="inlineStr">
        <is>
          <t>▸  1. RÉSUMÉ — AVANT / APRÈS IMPLÉMENTATION</t>
        </is>
      </c>
    </row>
    <row r="5">
      <c r="A5" s="24" t="inlineStr">
        <is>
          <t>Indicateur</t>
        </is>
      </c>
      <c r="B5" s="24" t="inlineStr">
        <is>
          <t>Unité</t>
        </is>
      </c>
      <c r="C5" s="24" t="inlineStr">
        <is>
          <t>AVANT
(situation actuelle)</t>
        </is>
      </c>
      <c r="D5" s="24" t="inlineStr">
        <is>
          <t>APRÈS
(Solution 1)</t>
        </is>
      </c>
      <c r="E5" s="24" t="inlineStr">
        <is>
          <t>Variation</t>
        </is>
      </c>
      <c r="F5" s="24" t="inlineStr">
        <is>
          <t>Source</t>
        </is>
      </c>
    </row>
    <row r="6">
      <c r="A6" s="25" t="inlineStr">
        <is>
          <t>Population avec accès eau potable</t>
        </is>
      </c>
      <c r="B6" s="26" t="inlineStr">
        <is>
          <t>pers.</t>
        </is>
      </c>
      <c r="C6" s="27" t="inlineStr">
        <is>
          <t>0 (0%)</t>
        </is>
      </c>
      <c r="D6" s="26" t="inlineStr">
        <is>
          <t>→</t>
        </is>
      </c>
      <c r="E6" s="28" t="inlineStr">
        <is>
          <t>973 (94.4%)</t>
        </is>
      </c>
      <c r="F6" s="29" t="inlineStr">
        <is>
          <t>+973 pers.</t>
        </is>
      </c>
      <c r="G6" s="30" t="inlineStr">
        <is>
          <t>RAW_DATA — puits contaminés</t>
        </is>
      </c>
      <c r="H6" s="31" t="n"/>
      <c r="I6" s="31" t="n"/>
      <c r="J6" s="31" t="n"/>
    </row>
    <row r="7">
      <c r="A7" s="32" t="inlineStr">
        <is>
          <t>Taux de couverture</t>
        </is>
      </c>
      <c r="B7" s="33" t="inlineStr">
        <is>
          <t>%</t>
        </is>
      </c>
      <c r="C7" s="27" t="inlineStr">
        <is>
          <t>0%</t>
        </is>
      </c>
      <c r="D7" s="33" t="inlineStr">
        <is>
          <t>→</t>
        </is>
      </c>
      <c r="E7" s="28" t="inlineStr">
        <is>
          <t>94.4%</t>
        </is>
      </c>
      <c r="F7" s="34" t="inlineStr">
        <is>
          <t>+94.4 pts</t>
        </is>
      </c>
      <c r="G7" s="35" t="inlineStr">
        <is>
          <t>Calcul greedy 500 m</t>
        </is>
      </c>
      <c r="H7" s="31" t="n"/>
      <c r="I7" s="31" t="n"/>
      <c r="J7" s="31" t="n"/>
    </row>
    <row r="8">
      <c r="A8" s="25" t="inlineStr">
        <is>
          <t>Distance moy. au point d'eau</t>
        </is>
      </c>
      <c r="B8" s="26" t="inlineStr">
        <is>
          <t>m</t>
        </is>
      </c>
      <c r="C8" s="27" t="inlineStr">
        <is>
          <t>~1 169 m</t>
        </is>
      </c>
      <c r="D8" s="26" t="inlineStr">
        <is>
          <t>→</t>
        </is>
      </c>
      <c r="E8" s="28" t="inlineStr">
        <is>
          <t>&lt; 350 m estimé</t>
        </is>
      </c>
      <c r="F8" s="29" t="inlineStr">
        <is>
          <t>−70% dist.</t>
        </is>
      </c>
      <c r="G8" s="30" t="inlineStr">
        <is>
          <t>Calcul haversine RAW_DATA</t>
        </is>
      </c>
      <c r="H8" s="31" t="n"/>
      <c r="I8" s="31" t="n"/>
      <c r="J8" s="31" t="n"/>
    </row>
    <row r="9">
      <c r="A9" s="32" t="inlineStr">
        <is>
          <t>Ménages desservis</t>
        </is>
      </c>
      <c r="B9" s="33" t="inlineStr">
        <is>
          <t>mén.</t>
        </is>
      </c>
      <c r="C9" s="27" t="inlineStr">
        <is>
          <t>0</t>
        </is>
      </c>
      <c r="D9" s="33" t="inlineStr">
        <is>
          <t>→</t>
        </is>
      </c>
      <c r="E9" s="28" t="inlineStr">
        <is>
          <t>159 / 170</t>
        </is>
      </c>
      <c r="F9" s="34" t="n"/>
      <c r="G9" s="35" t="inlineStr">
        <is>
          <t>Algorithme couverture</t>
        </is>
      </c>
      <c r="H9" s="31" t="n"/>
      <c r="I9" s="31" t="n"/>
      <c r="J9" s="31" t="n"/>
    </row>
    <row r="10">
      <c r="A10" s="25" t="inlineStr">
        <is>
          <t>Demande quotidienne satisfaite</t>
        </is>
      </c>
      <c r="B10" s="26" t="inlineStr">
        <is>
          <t>L/j</t>
        </is>
      </c>
      <c r="C10" s="27" t="inlineStr">
        <is>
          <t>0</t>
        </is>
      </c>
      <c r="D10" s="26" t="inlineStr">
        <is>
          <t>→</t>
        </is>
      </c>
      <c r="E10" s="28" t="inlineStr">
        <is>
          <t>16,686</t>
        </is>
      </c>
      <c r="F10" s="29" t="inlineStr">
        <is>
          <t>+16,686 L/j</t>
        </is>
      </c>
      <c r="G10" s="30" t="inlineStr">
        <is>
          <t>Somme RAW_DATA</t>
        </is>
      </c>
      <c r="H10" s="31" t="n"/>
      <c r="I10" s="31" t="n"/>
      <c r="J10" s="31" t="n"/>
    </row>
    <row r="11">
      <c r="A11" s="32" t="inlineStr">
        <is>
          <t>Points d'eau propres disponibles</t>
        </is>
      </c>
      <c r="B11" s="33" t="inlineStr">
        <is>
          <t>unités</t>
        </is>
      </c>
      <c r="C11" s="27" t="inlineStr">
        <is>
          <t>3 (pompes à main)</t>
        </is>
      </c>
      <c r="D11" s="33" t="inlineStr">
        <is>
          <t>→</t>
        </is>
      </c>
      <c r="E11" s="28" t="inlineStr">
        <is>
          <t>8 (+5 BF)</t>
        </is>
      </c>
      <c r="F11" s="34" t="n"/>
      <c r="G11" s="35" t="inlineStr">
        <is>
          <t>RAW_DATA + Solution 1</t>
        </is>
      </c>
      <c r="H11" s="31" t="n"/>
      <c r="I11" s="31" t="n"/>
      <c r="J11" s="31" t="n"/>
    </row>
    <row r="12">
      <c r="A12" s="25" t="inlineStr">
        <is>
          <t>Ménages NON desservis (&gt; 500 m)</t>
        </is>
      </c>
      <c r="B12" s="26" t="inlineStr">
        <is>
          <t>mén.</t>
        </is>
      </c>
      <c r="C12" s="27" t="inlineStr">
        <is>
          <t>170</t>
        </is>
      </c>
      <c r="D12" s="26" t="inlineStr">
        <is>
          <t>→</t>
        </is>
      </c>
      <c r="E12" s="28" t="inlineStr">
        <is>
          <t>11</t>
        </is>
      </c>
      <c r="F12" s="29" t="n"/>
      <c r="G12" s="30" t="inlineStr">
        <is>
          <t>Algorithme</t>
        </is>
      </c>
      <c r="H12" s="31" t="n"/>
      <c r="I12" s="31" t="n"/>
      <c r="J12" s="31" t="n"/>
    </row>
    <row r="13">
      <c r="A13" s="32" t="inlineStr">
        <is>
          <t>Population non desservie</t>
        </is>
      </c>
      <c r="B13" s="33" t="inlineStr">
        <is>
          <t>pers.</t>
        </is>
      </c>
      <c r="C13" s="27" t="inlineStr">
        <is>
          <t>1031</t>
        </is>
      </c>
      <c r="D13" s="33" t="inlineStr">
        <is>
          <t>→</t>
        </is>
      </c>
      <c r="E13" s="28" t="inlineStr">
        <is>
          <t>58</t>
        </is>
      </c>
      <c r="F13" s="34" t="inlineStr">
        <is>
          <t>−973</t>
        </is>
      </c>
      <c r="G13" s="35" t="inlineStr">
        <is>
          <t>Algorithme</t>
        </is>
      </c>
      <c r="H13" s="31" t="n"/>
      <c r="I13" s="31" t="n"/>
      <c r="J13" s="31" t="n"/>
    </row>
    <row r="14"/>
    <row r="15">
      <c r="A15" s="23" t="inlineStr">
        <is>
          <t>▸  2. LOCALISATIONS PROPOSÉES DES BORNES-FONTAINES</t>
        </is>
      </c>
    </row>
    <row r="16">
      <c r="A16" s="24" t="inlineStr">
        <is>
          <t>BF #</t>
        </is>
      </c>
      <c r="B16" s="24" t="inlineStr">
        <is>
          <t>Latitude (°)</t>
        </is>
      </c>
      <c r="C16" s="24" t="inlineStr">
        <is>
          <t>Longitude (°)</t>
        </is>
      </c>
      <c r="D16" s="24" t="inlineStr">
        <is>
          <t>Altitude (m NGF)</t>
        </is>
      </c>
      <c r="E16" s="24" t="inlineStr">
        <is>
          <t>Charge dispo. (m CE)</t>
        </is>
      </c>
      <c r="F16" s="24" t="inlineStr">
        <is>
          <t>Alimentation</t>
        </is>
      </c>
      <c r="G16" s="24" t="inlineStr">
        <is>
          <t>Zone</t>
        </is>
      </c>
      <c r="H16" s="24" t="inlineStr">
        <is>
          <t>Ménages couverts</t>
        </is>
      </c>
      <c r="I16" s="24" t="inlineStr">
        <is>
          <t>Population couverte</t>
        </is>
      </c>
      <c r="J16" s="24" t="inlineStr">
        <is>
          <t>Demande journalière (L/j)</t>
        </is>
      </c>
    </row>
    <row r="17">
      <c r="A17" s="36" t="inlineStr">
        <is>
          <t>BF 1</t>
        </is>
      </c>
      <c r="B17" s="37" t="n">
        <v>10.98356</v>
      </c>
      <c r="C17" s="37" t="n">
        <v>-11.43301</v>
      </c>
      <c r="D17" s="38" t="n">
        <v>363</v>
      </c>
      <c r="E17" s="39" t="n">
        <v>10</v>
      </c>
      <c r="F17" s="40" t="inlineStr">
        <is>
          <t>✓ Gravité (10 m CE)</t>
        </is>
      </c>
      <c r="G17" s="41" t="inlineStr">
        <is>
          <t>Sud</t>
        </is>
      </c>
      <c r="H17" s="42" t="n">
        <v>58</v>
      </c>
      <c r="I17" s="43" t="n">
        <v>364</v>
      </c>
      <c r="J17" s="44" t="n">
        <v>6264</v>
      </c>
    </row>
    <row r="18">
      <c r="A18" s="45" t="inlineStr">
        <is>
          <t>BF 2</t>
        </is>
      </c>
      <c r="B18" s="46" t="n">
        <v>10.99887</v>
      </c>
      <c r="C18" s="46" t="n">
        <v>-11.43862</v>
      </c>
      <c r="D18" s="47" t="n">
        <v>361</v>
      </c>
      <c r="E18" s="48" t="n">
        <v>12</v>
      </c>
      <c r="F18" s="49" t="inlineStr">
        <is>
          <t>✓ Gravité (12 m CE)</t>
        </is>
      </c>
      <c r="G18" s="50" t="inlineStr">
        <is>
          <t>Nord</t>
        </is>
      </c>
      <c r="H18" s="51" t="n">
        <v>31</v>
      </c>
      <c r="I18" s="52" t="n">
        <v>194</v>
      </c>
      <c r="J18" s="53" t="n">
        <v>3282</v>
      </c>
    </row>
    <row r="19">
      <c r="A19" s="54" t="inlineStr">
        <is>
          <t>BF 3</t>
        </is>
      </c>
      <c r="B19" s="37" t="n">
        <v>11.002</v>
      </c>
      <c r="C19" s="37" t="n">
        <v>-11.42166</v>
      </c>
      <c r="D19" s="38" t="n">
        <v>350</v>
      </c>
      <c r="E19" s="39" t="n">
        <v>23</v>
      </c>
      <c r="F19" s="40" t="inlineStr">
        <is>
          <t>✓ Gravité (23 m CE)</t>
        </is>
      </c>
      <c r="G19" s="41" t="inlineStr">
        <is>
          <t>Nord</t>
        </is>
      </c>
      <c r="H19" s="42" t="n">
        <v>31</v>
      </c>
      <c r="I19" s="43" t="n">
        <v>188</v>
      </c>
      <c r="J19" s="44" t="n">
        <v>3358</v>
      </c>
    </row>
    <row r="20">
      <c r="A20" s="55" t="inlineStr">
        <is>
          <t>BF 4</t>
        </is>
      </c>
      <c r="B20" s="46" t="n">
        <v>10.99125</v>
      </c>
      <c r="C20" s="46" t="n">
        <v>-11.44404</v>
      </c>
      <c r="D20" s="47" t="n">
        <v>350</v>
      </c>
      <c r="E20" s="48" t="n">
        <v>23</v>
      </c>
      <c r="F20" s="49" t="inlineStr">
        <is>
          <t>✓ Gravité (23 m CE)</t>
        </is>
      </c>
      <c r="G20" s="50" t="inlineStr">
        <is>
          <t>Ouest</t>
        </is>
      </c>
      <c r="H20" s="51" t="n">
        <v>28</v>
      </c>
      <c r="I20" s="52" t="n">
        <v>165</v>
      </c>
      <c r="J20" s="53" t="n">
        <v>2787</v>
      </c>
    </row>
    <row r="21">
      <c r="A21" s="56" t="inlineStr">
        <is>
          <t>BF 5</t>
        </is>
      </c>
      <c r="B21" s="37" t="n">
        <v>10.98842</v>
      </c>
      <c r="C21" s="37" t="n">
        <v>-11.43419</v>
      </c>
      <c r="D21" s="38" t="n">
        <v>354</v>
      </c>
      <c r="E21" s="39" t="n">
        <v>19</v>
      </c>
      <c r="F21" s="40" t="inlineStr">
        <is>
          <t>✓ Gravité (19 m CE)</t>
        </is>
      </c>
      <c r="G21" s="41" t="inlineStr">
        <is>
          <t>Centre</t>
        </is>
      </c>
      <c r="H21" s="42" t="n">
        <v>11</v>
      </c>
      <c r="I21" s="43" t="n">
        <v>62</v>
      </c>
      <c r="J21" s="44" t="n">
        <v>995</v>
      </c>
    </row>
    <row r="22">
      <c r="A22" s="57" t="inlineStr">
        <is>
          <t>TOTAL</t>
        </is>
      </c>
      <c r="B22" s="58" t="n"/>
      <c r="C22" s="58" t="n"/>
      <c r="D22" s="58" t="n"/>
      <c r="E22" s="58" t="n"/>
      <c r="F22" s="58" t="n"/>
      <c r="G22" s="58" t="n"/>
      <c r="H22" s="59" t="n">
        <v>159</v>
      </c>
      <c r="I22" s="60" t="n">
        <v>973</v>
      </c>
      <c r="J22" s="61" t="n">
        <v>16686</v>
      </c>
    </row>
    <row r="23"/>
    <row r="24">
      <c r="A24" s="23" t="inlineStr">
        <is>
          <t>▸  3. JUSTIFICATION DE CHAQUE EMPLACEMENT (basée sur RAW_DATA)</t>
        </is>
      </c>
    </row>
    <row r="25">
      <c r="A25" s="24" t="inlineStr">
        <is>
          <t>BF #</t>
        </is>
      </c>
      <c r="B25" s="24" t="inlineStr">
        <is>
          <t>Zone / Description</t>
        </is>
      </c>
      <c r="C25" s="24" t="inlineStr">
        <is>
          <t>Justification basée sur données</t>
        </is>
      </c>
      <c r="D25" s="24" t="inlineStr">
        <is>
          <t>Contrainte hydraulique</t>
        </is>
      </c>
      <c r="E25" s="24" t="inlineStr">
        <is>
          <t>Nb ménages</t>
        </is>
      </c>
      <c r="F25" s="24" t="inlineStr">
        <is>
          <t>Population</t>
        </is>
      </c>
      <c r="G25" s="24" t="inlineStr">
        <is>
          <t>Dist. réservoir</t>
        </is>
      </c>
      <c r="H25" s="24" t="inlineStr">
        <is>
          <t>Charge (m CE)</t>
        </is>
      </c>
      <c r="I25" s="24" t="n"/>
      <c r="J25" s="24" t="n"/>
    </row>
    <row r="26">
      <c r="A26" s="29" t="inlineStr">
        <is>
          <t>BF 1</t>
        </is>
      </c>
      <c r="B26" s="62" t="inlineStr">
        <is>
          <t>Cluster Sud/Centre — zone résidentielle dense</t>
        </is>
      </c>
      <c r="C26" s="31" t="n"/>
      <c r="D26" s="63" t="inlineStr">
        <is>
          <t>Plus forte concentration de ménages dans RAW_DATA (58 HH dans rayon 500m). Altitude 363m NGF → charge de 10m CE sur la conduite principale.</t>
        </is>
      </c>
      <c r="E26" s="31" t="n"/>
      <c r="F26" s="31" t="n"/>
      <c r="G26" s="31" t="n"/>
      <c r="H26" s="64" t="inlineStr">
        <is>
          <t>✓ Gravité — 10m CE</t>
        </is>
      </c>
      <c r="I26" s="31" t="n"/>
      <c r="J26" s="65" t="inlineStr">
        <is>
          <t>58 mén. / 364 pers. / 1308m du rés.</t>
        </is>
      </c>
    </row>
    <row r="27">
      <c r="A27" s="34" t="inlineStr">
        <is>
          <t>BF 2</t>
        </is>
      </c>
      <c r="B27" s="66" t="inlineStr">
        <is>
          <t>Cluster Centre-Nord — proximité réservoir</t>
        </is>
      </c>
      <c r="C27" s="31" t="n"/>
      <c r="D27" s="67" t="inlineStr">
        <is>
          <t>Zone intermédiaire entre réservoir et clusters éloignés. 31 HH à ~529m du réservoir. Altitude 361m → bonne pression disponible.</t>
        </is>
      </c>
      <c r="E27" s="31" t="n"/>
      <c r="F27" s="31" t="n"/>
      <c r="G27" s="31" t="n"/>
      <c r="H27" s="68" t="inlineStr">
        <is>
          <t>✓ Gravité — 12m CE</t>
        </is>
      </c>
      <c r="I27" s="31" t="n"/>
      <c r="J27" s="69" t="inlineStr">
        <is>
          <t>31 mén. / 194 pers. / 529m du rés.</t>
        </is>
      </c>
    </row>
    <row r="28">
      <c r="A28" s="29" t="inlineStr">
        <is>
          <t>BF 3</t>
        </is>
      </c>
      <c r="B28" s="62" t="inlineStr">
        <is>
          <t>Cluster Nord-Est — zone éloignée Est</t>
        </is>
      </c>
      <c r="C28" s="31" t="n"/>
      <c r="D28" s="63" t="inlineStr">
        <is>
          <t>Zone la plus éloignée (1 728m du réservoir). 31 HH isolés à altitude 350m. Sans BF, ces ménages resteraient à &gt; 1 500m de tout point d'eau propre.</t>
        </is>
      </c>
      <c r="E28" s="31" t="n"/>
      <c r="F28" s="31" t="n"/>
      <c r="G28" s="31" t="n"/>
      <c r="H28" s="64" t="inlineStr">
        <is>
          <t>✓ Gravité — 23m CE</t>
        </is>
      </c>
      <c r="I28" s="31" t="n"/>
      <c r="J28" s="65" t="inlineStr">
        <is>
          <t>31 mén. / 188 pers. / 1728m du rés.</t>
        </is>
      </c>
    </row>
    <row r="29">
      <c r="A29" s="34" t="inlineStr">
        <is>
          <t>BF 4</t>
        </is>
      </c>
      <c r="B29" s="66" t="inlineStr">
        <is>
          <t>Cluster Ouest — zone Nord-Ouest</t>
        </is>
      </c>
      <c r="C29" s="31" t="n"/>
      <c r="D29" s="67" t="inlineStr">
        <is>
          <t>Ménages nord-ouest dispersés (28 HH). Zone à ~991m du réservoir, altitude basse (350m) → pression excellente. Densité suffisante pour 1 BF.</t>
        </is>
      </c>
      <c r="E29" s="31" t="n"/>
      <c r="F29" s="31" t="n"/>
      <c r="G29" s="31" t="n"/>
      <c r="H29" s="68" t="inlineStr">
        <is>
          <t>✓ Gravité — 23m CE</t>
        </is>
      </c>
      <c r="I29" s="31" t="n"/>
      <c r="J29" s="69" t="inlineStr">
        <is>
          <t>28 mén. / 165 pers. / 991m du rés.</t>
        </is>
      </c>
    </row>
    <row r="30">
      <c r="A30" s="29" t="inlineStr">
        <is>
          <t>BF 5</t>
        </is>
      </c>
      <c r="B30" s="62" t="inlineStr">
        <is>
          <t>Cluster Centre-Sud — zone intermédiaire</t>
        </is>
      </c>
      <c r="C30" s="31" t="n"/>
      <c r="D30" s="63" t="inlineStr">
        <is>
          <t>Ménages résiduels entre BF1 et BF2. 11 HH non couverts par BF1/BF2. BF5 à altitude 354m permet de réduire le rayon de marche à &lt; 400m.</t>
        </is>
      </c>
      <c r="E30" s="31" t="n"/>
      <c r="F30" s="31" t="n"/>
      <c r="G30" s="31" t="n"/>
      <c r="H30" s="64" t="inlineStr">
        <is>
          <t>✓ Gravité — 19m CE</t>
        </is>
      </c>
      <c r="I30" s="31" t="n"/>
      <c r="J30" s="65" t="inlineStr">
        <is>
          <t>11 mén. / 62 pers. / 752m du rés.</t>
        </is>
      </c>
    </row>
    <row r="31"/>
    <row r="32">
      <c r="A32" s="23" t="inlineStr">
        <is>
          <t>▸  4. ESTIMATION DES COÛTS — Solution 1</t>
        </is>
      </c>
    </row>
    <row r="33">
      <c r="A33" s="24" t="inlineStr">
        <is>
          <t>Poste de dépense</t>
        </is>
      </c>
      <c r="B33" s="24" t="inlineStr">
        <is>
          <t>Qté</t>
        </is>
      </c>
      <c r="C33" s="24" t="inlineStr">
        <is>
          <t>Unité</t>
        </is>
      </c>
      <c r="D33" s="24" t="inlineStr">
        <is>
          <t>Coût unit. (€)</t>
        </is>
      </c>
      <c r="E33" s="24" t="inlineStr">
        <is>
          <t>Total (€)</t>
        </is>
      </c>
      <c r="F33" s="24" t="inlineStr">
        <is>
          <t>Source prix</t>
        </is>
      </c>
      <c r="G33" s="70" t="n"/>
      <c r="H33" s="24" t="inlineStr">
        <is>
          <t>Statut prix</t>
        </is>
      </c>
      <c r="I33" s="24" t="inlineStr">
        <is>
          <t>Lien source (URL)</t>
        </is>
      </c>
      <c r="J33" s="70" t="n"/>
    </row>
    <row r="34">
      <c r="A34" s="71" t="inlineStr">
        <is>
          <t>Réseau de conduites posées</t>
        </is>
      </c>
      <c r="B34" s="72" t="n">
        <v>4556</v>
      </c>
      <c r="C34" s="73" t="inlineStr">
        <is>
          <t>m réseau</t>
        </is>
      </c>
      <c r="D34" s="74" t="inlineStr">
        <is>
          <t>variable</t>
        </is>
      </c>
      <c r="E34" s="75" t="n">
        <v>133937</v>
      </c>
      <c r="F34" s="76" t="inlineStr">
        <is>
          <t>IRC WASH Costing Guide 2021</t>
        </is>
      </c>
      <c r="G34" s="70" t="n"/>
      <c r="H34" s="77" t="inlineStr">
        <is>
          <t>🟡 Benchmark AO</t>
        </is>
      </c>
      <c r="I34" s="78" t="inlineStr">
        <is>
          <t>https://www.ircwash.org/resources/costing-rural-water-supply-reviewing-literature</t>
        </is>
      </c>
      <c r="J34" s="70" t="n"/>
      <c r="K34" s="79" t="n"/>
    </row>
    <row r="35">
      <c r="A35" s="80" t="inlineStr">
        <is>
          <t>5 bornes-fontaines (BF standard + GC)</t>
        </is>
      </c>
      <c r="B35" s="81" t="n">
        <v>5</v>
      </c>
      <c r="C35" s="82" t="inlineStr">
        <is>
          <t>unité</t>
        </is>
      </c>
      <c r="D35" s="83" t="n">
        <v>2740</v>
      </c>
      <c r="E35" s="84" t="n">
        <v>13700</v>
      </c>
      <c r="F35" s="85" t="inlineStr">
        <is>
          <t>WASHCost Burkina Faso (ONEA 2019)</t>
        </is>
      </c>
      <c r="G35" s="70" t="n"/>
      <c r="H35" s="86" t="inlineStr">
        <is>
          <t>🟡 Benchmark AO</t>
        </is>
      </c>
      <c r="I35" s="87" t="inlineStr">
        <is>
          <t>https://www.scribd.com/document/522667322/828PG-MA78-1226</t>
        </is>
      </c>
      <c r="J35" s="70" t="n"/>
      <c r="K35" s="79" t="n"/>
    </row>
    <row r="36">
      <c r="A36" s="71" t="inlineStr">
        <is>
          <t>Vannes + ventouses + regards</t>
        </is>
      </c>
      <c r="B36" s="72" t="n">
        <v>1</v>
      </c>
      <c r="C36" s="73" t="inlineStr">
        <is>
          <t>forfait</t>
        </is>
      </c>
      <c r="D36" s="88" t="n">
        <v>3500</v>
      </c>
      <c r="E36" s="75" t="n">
        <v>3500</v>
      </c>
      <c r="F36" s="76" t="inlineStr">
        <is>
          <t>Catalogues import Afrique Ouest 2022</t>
        </is>
      </c>
      <c r="G36" s="70" t="n"/>
      <c r="H36" s="77" t="inlineStr">
        <is>
          <t>🟡 Benchmark AO</t>
        </is>
      </c>
      <c r="I36" s="78" t="inlineStr">
        <is>
          <t>https://watermission.org/wp-content/uploads/2017/08/PricingSession_Web.pdf</t>
        </is>
      </c>
      <c r="J36" s="70" t="n"/>
      <c r="K36" s="79" t="n"/>
    </row>
    <row r="37">
      <c r="A37" s="80" t="inlineStr">
        <is>
          <t>Chlorateur gravitaire (1 unité)</t>
        </is>
      </c>
      <c r="B37" s="81" t="n">
        <v>1</v>
      </c>
      <c r="C37" s="82" t="inlineStr">
        <is>
          <t>unité</t>
        </is>
      </c>
      <c r="D37" s="83" t="n">
        <v>500</v>
      </c>
      <c r="E37" s="84" t="n">
        <v>500</v>
      </c>
      <c r="F37" s="85" t="inlineStr">
        <is>
          <t>IRC / UNICEF WASH Supply Chain 2022</t>
        </is>
      </c>
      <c r="G37" s="70" t="n"/>
      <c r="H37" s="86" t="inlineStr">
        <is>
          <t>🟡 Benchmark AO</t>
        </is>
      </c>
      <c r="I37" s="87" t="inlineStr">
        <is>
          <t>https://www.unicef.org/supply/documents/water-purification-tablets</t>
        </is>
      </c>
      <c r="J37" s="70" t="n"/>
      <c r="K37" s="79" t="n"/>
    </row>
    <row r="38">
      <c r="A38" s="71" t="inlineStr">
        <is>
          <t>Études + topographie + supervision</t>
        </is>
      </c>
      <c r="B38" s="72" t="n">
        <v>1</v>
      </c>
      <c r="C38" s="73" t="inlineStr">
        <is>
          <t>forfait</t>
        </is>
      </c>
      <c r="D38" s="88" t="n">
        <v>7500</v>
      </c>
      <c r="E38" s="75" t="n">
        <v>7500</v>
      </c>
      <c r="F38" s="76" t="inlineStr">
        <is>
          <t>World Bank procurement standard</t>
        </is>
      </c>
      <c r="G38" s="70" t="n"/>
      <c r="H38" s="77" t="inlineStr">
        <is>
          <t>🟡 Benchmark AO</t>
        </is>
      </c>
      <c r="I38" s="78" t="inlineStr">
        <is>
          <t>https://documents1.worldbank.org/curated/en/099031825120072629/pdf/BOSIB-2e1acf99-ec4d-4ffc-b49b-0c9ec31f74c2.pdf</t>
        </is>
      </c>
      <c r="J38" s="70" t="n"/>
      <c r="K38" s="79" t="n"/>
    </row>
    <row r="39">
      <c r="A39" s="80" t="inlineStr">
        <is>
          <t>Formation techniciens locaux (3 pers.)</t>
        </is>
      </c>
      <c r="B39" s="81" t="n">
        <v>3</v>
      </c>
      <c r="C39" s="82" t="inlineStr">
        <is>
          <t>technicien</t>
        </is>
      </c>
      <c r="D39" s="83" t="n">
        <v>400</v>
      </c>
      <c r="E39" s="84" t="n">
        <v>1200</v>
      </c>
      <c r="F39" s="85" t="inlineStr">
        <is>
          <t>PSEau / ONG WASH benchmarks 2020–23</t>
        </is>
      </c>
      <c r="G39" s="70" t="n"/>
      <c r="H39" s="86" t="inlineStr">
        <is>
          <t>🟡 Benchmark AO</t>
        </is>
      </c>
      <c r="I39" s="87" t="inlineStr">
        <is>
          <t>https://www.pseau.org/outils/ouvrages/pseau_guide_gestion_communautaire_2010.pdf</t>
        </is>
      </c>
      <c r="J39" s="70" t="n"/>
      <c r="K39" s="79" t="n"/>
    </row>
    <row r="40">
      <c r="A40" s="89" t="inlineStr">
        <is>
          <t>Imprévus (5%)</t>
        </is>
      </c>
      <c r="B40" s="90" t="n">
        <v>1</v>
      </c>
      <c r="C40" s="91" t="inlineStr">
        <is>
          <t>forfait 5%</t>
        </is>
      </c>
      <c r="D40" s="92" t="n">
        <v>8017</v>
      </c>
      <c r="E40" s="93" t="n">
        <v>8017</v>
      </c>
      <c r="F40" s="94" t="inlineStr">
        <is>
          <t>Règle ingénierie standard (AFNOR)</t>
        </is>
      </c>
      <c r="G40" s="95" t="n"/>
      <c r="H40" s="96" t="inlineStr">
        <is>
          <t>🟡 Benchmark AO</t>
        </is>
      </c>
      <c r="I40" s="97" t="inlineStr">
        <is>
          <t>https://www.afnor.org</t>
        </is>
      </c>
      <c r="J40" s="95" t="n"/>
      <c r="K40" s="79" t="n"/>
    </row>
    <row r="41">
      <c r="A41" s="98" t="inlineStr">
        <is>
          <t>CAPEX TOTAL SOLUTION 1</t>
        </is>
      </c>
      <c r="B41" s="99" t="n"/>
      <c r="C41" s="99" t="n"/>
      <c r="D41" s="100" t="n"/>
      <c r="E41" s="101" t="n">
        <v>168354</v>
      </c>
      <c r="F41" s="102" t="inlineStr">
        <is>
          <t>✅ DANS LE BUDGET — Marge : 51,646 € sur 220 000 €  (76.5% utilisé)</t>
        </is>
      </c>
      <c r="G41" s="99" t="n"/>
      <c r="H41" s="99" t="n"/>
      <c r="I41" s="99" t="n"/>
      <c r="J41" s="100" t="n"/>
    </row>
    <row r="42">
      <c r="A42" s="103" t="inlineStr">
        <is>
          <t>OPEX annuel estimé (fontainier + chlore + maintenance + réhabilitation)</t>
        </is>
      </c>
      <c r="B42" s="31" t="n"/>
      <c r="C42" s="31" t="n"/>
      <c r="D42" s="70" t="n"/>
      <c r="E42" s="104" t="n">
        <v>4530</v>
      </c>
      <c r="F42" s="105" t="inlineStr">
        <is>
          <t>Cycle de vie 20 ans : 258,954 € | Coût/pers. : 266 €/pers.</t>
        </is>
      </c>
      <c r="G42" s="31" t="n"/>
      <c r="H42" s="31" t="n"/>
      <c r="I42" s="31" t="n"/>
      <c r="J42" s="70" t="n"/>
    </row>
    <row r="43"/>
    <row r="44">
      <c r="A44" s="23" t="inlineStr">
        <is>
          <t>▸  5. HYPOTHÈSES ET LIMITES</t>
        </is>
      </c>
    </row>
    <row r="45">
      <c r="A45" s="106" t="inlineStr">
        <is>
          <t>Algorithme de couverture</t>
        </is>
      </c>
      <c r="B45" s="31" t="n"/>
      <c r="C45" s="107" t="inlineStr">
        <is>
          <t>Algorithme greedy de maximisation de couverture — rayon 500m (norme Sphere). Les emplacements candidats sont les positions réelles des ménages dans RAW_DATA.</t>
        </is>
      </c>
      <c r="D45" s="31" t="n"/>
      <c r="E45" s="31" t="n"/>
      <c r="F45" s="31" t="n"/>
      <c r="G45" s="31" t="n"/>
      <c r="H45" s="31" t="n"/>
      <c r="I45" s="31" t="n"/>
      <c r="J45" s="31" t="n"/>
    </row>
    <row r="46">
      <c r="A46" s="108" t="inlineStr">
        <is>
          <t>Altitude et gravité</t>
        </is>
      </c>
      <c r="B46" s="31" t="n"/>
      <c r="C46" s="109" t="inlineStr">
        <is>
          <t>Réservoir sol à 368m NGF, base cuve à 373m NGF (énoncé). Tout point &lt; 373m peut être alimenté par gravité. 3 ménages ≥ 373m → hors solution gravitaire pure.</t>
        </is>
      </c>
      <c r="D46" s="31" t="n"/>
      <c r="E46" s="31" t="n"/>
      <c r="F46" s="31" t="n"/>
      <c r="G46" s="31" t="n"/>
      <c r="H46" s="31" t="n"/>
      <c r="I46" s="31" t="n"/>
      <c r="J46" s="31" t="n"/>
    </row>
    <row r="47">
      <c r="A47" s="106" t="inlineStr">
        <is>
          <t>Réseau de conduites</t>
        </is>
      </c>
      <c r="B47" s="31" t="n"/>
      <c r="C47" s="107" t="inlineStr">
        <is>
          <t>Arbre couvrant minimal (algorithme de Prim) depuis le réservoir. Longueur totale estimée : 4556 m. DN90 pour tronc depuis réservoir, DN63 pour branches vers BF.</t>
        </is>
      </c>
      <c r="D47" s="31" t="n"/>
      <c r="E47" s="31" t="n"/>
      <c r="F47" s="31" t="n"/>
      <c r="G47" s="31" t="n"/>
      <c r="H47" s="31" t="n"/>
      <c r="I47" s="31" t="n"/>
      <c r="J47" s="31" t="n"/>
    </row>
    <row r="48">
      <c r="A48" s="108" t="inlineStr">
        <is>
          <t>Coûts unitaires</t>
        </is>
      </c>
      <c r="B48" s="31" t="n"/>
      <c r="C48" s="109" t="inlineStr">
        <is>
          <t>Prix benchmarks Afrique de l'Ouest (Table A / COST_CHEAT_SHEET). Statut : 🟡 Benchmark AO — non vérifiés spécifiquement en Guinée. Incertitude ±30 %. Validation encadrant requise.</t>
        </is>
      </c>
      <c r="D48" s="31" t="n"/>
      <c r="E48" s="31" t="n"/>
      <c r="F48" s="31" t="n"/>
      <c r="G48" s="31" t="n"/>
      <c r="H48" s="31" t="n"/>
      <c r="I48" s="31" t="n"/>
      <c r="J48" s="31" t="n"/>
    </row>
    <row r="49">
      <c r="A49" s="106" t="inlineStr">
        <is>
          <t>Population non desservie</t>
        </is>
      </c>
      <c r="B49" s="31" t="n"/>
      <c r="C49" s="107" t="inlineStr">
        <is>
          <t>11 ménages (58 personnes) restent à &gt; 500m d'une BF. Une 6ème BF pourrait les couvrir pour ~X€ supplémentaires.</t>
        </is>
      </c>
      <c r="D49" s="31" t="n"/>
      <c r="E49" s="31" t="n"/>
      <c r="F49" s="31" t="n"/>
      <c r="G49" s="31" t="n"/>
      <c r="H49" s="31" t="n"/>
      <c r="I49" s="31" t="n"/>
      <c r="J49" s="31" t="n"/>
    </row>
    <row r="50">
      <c r="A50" s="108" t="inlineStr">
        <is>
          <t>Qualité eau</t>
        </is>
      </c>
      <c r="B50" s="31" t="n"/>
      <c r="C50" s="109" t="inlineStr">
        <is>
          <t>Les 21 puits ouverts (contamination 200–600 UFC/100mL) ne sont pas pris en compte dans les points d'accès à l'eau potable. Chloration à la sortie du réservoir requise.</t>
        </is>
      </c>
      <c r="D50" s="31" t="n"/>
      <c r="E50" s="31" t="n"/>
      <c r="F50" s="31" t="n"/>
      <c r="G50" s="31" t="n"/>
      <c r="H50" s="31" t="n"/>
      <c r="I50" s="31" t="n"/>
      <c r="J50" s="31" t="n"/>
    </row>
    <row r="51"/>
    <row r="52"/>
    <row r="53">
      <c r="A53" s="23" t="inlineStr">
        <is>
          <t>▸  6. CARTE — Positions proposées des bornes-fontaines</t>
        </is>
      </c>
    </row>
  </sheetData>
  <mergeCells count="63">
    <mergeCell ref="A48:B48"/>
    <mergeCell ref="I34:J34"/>
    <mergeCell ref="A32:J32"/>
    <mergeCell ref="H29:I29"/>
    <mergeCell ref="A49:B49"/>
    <mergeCell ref="F34:G34"/>
    <mergeCell ref="A45:B45"/>
    <mergeCell ref="A53:J53"/>
    <mergeCell ref="D30:G30"/>
    <mergeCell ref="A4:J4"/>
    <mergeCell ref="I36:J36"/>
    <mergeCell ref="D29:G29"/>
    <mergeCell ref="B27:C27"/>
    <mergeCell ref="F40:G40"/>
    <mergeCell ref="C45:J45"/>
    <mergeCell ref="A44:J44"/>
    <mergeCell ref="G9:J9"/>
    <mergeCell ref="D26:G26"/>
    <mergeCell ref="C47:J47"/>
    <mergeCell ref="G12:J12"/>
    <mergeCell ref="A46:B46"/>
    <mergeCell ref="F42:J42"/>
    <mergeCell ref="C50:J50"/>
    <mergeCell ref="F33:G33"/>
    <mergeCell ref="I37:J37"/>
    <mergeCell ref="F36:G36"/>
    <mergeCell ref="A24:J24"/>
    <mergeCell ref="F41:J41"/>
    <mergeCell ref="G11:J11"/>
    <mergeCell ref="A15:J15"/>
    <mergeCell ref="F35:G35"/>
    <mergeCell ref="A50:B50"/>
    <mergeCell ref="A1:J1"/>
    <mergeCell ref="B29:C29"/>
    <mergeCell ref="F38:G38"/>
    <mergeCell ref="G8:J8"/>
    <mergeCell ref="C46:J46"/>
    <mergeCell ref="A47:B47"/>
    <mergeCell ref="I33:J33"/>
    <mergeCell ref="B28:C28"/>
    <mergeCell ref="G7:J7"/>
    <mergeCell ref="A41:D41"/>
    <mergeCell ref="I39:J39"/>
    <mergeCell ref="H28:I28"/>
    <mergeCell ref="D27:G27"/>
    <mergeCell ref="H27:I27"/>
    <mergeCell ref="G10:J10"/>
    <mergeCell ref="D28:G28"/>
    <mergeCell ref="C48:J48"/>
    <mergeCell ref="F37:G37"/>
    <mergeCell ref="F39:G39"/>
    <mergeCell ref="I35:J35"/>
    <mergeCell ref="B30:C30"/>
    <mergeCell ref="G13:J13"/>
    <mergeCell ref="I38:J38"/>
    <mergeCell ref="G6:J6"/>
    <mergeCell ref="A2:J2"/>
    <mergeCell ref="H26:I26"/>
    <mergeCell ref="B26:C26"/>
    <mergeCell ref="A42:D42"/>
    <mergeCell ref="I40:J40"/>
    <mergeCell ref="H30:I30"/>
    <mergeCell ref="C49:J4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14" customWidth="1" min="6" max="6"/>
    <col width="18" customWidth="1" min="7" max="7"/>
    <col width="22" customWidth="1" min="8" max="8"/>
    <col width="42" customWidth="1" min="9" max="9"/>
  </cols>
  <sheetData>
    <row r="1">
      <c r="A1" s="110" t="inlineStr">
        <is>
          <t>GLOSSAIRE DES PRIX — Système AEP Rural · Guinée / Afrique de l'Ouest 2024</t>
        </is>
      </c>
    </row>
    <row r="2">
      <c r="A2" s="111" t="inlineStr">
        <is>
          <t>Conversions : 1 € = 9 940 GNF  |  1 € = 1.15 USD  |  1 € = 656 XOF (FCFA)</t>
        </is>
      </c>
    </row>
    <row r="3">
      <c r="A3" s="24" t="inlineStr">
        <is>
          <t>Item / Description</t>
        </is>
      </c>
      <c r="B3" s="24" t="inlineStr">
        <is>
          <t>Unité</t>
        </is>
      </c>
      <c r="C3" s="24" t="inlineStr">
        <is>
          <t>Prix bas (€)</t>
        </is>
      </c>
      <c r="D3" s="24" t="inlineStr">
        <is>
          <t>Prix moyen (€)</t>
        </is>
      </c>
      <c r="E3" s="24" t="inlineStr">
        <is>
          <t>Prix haut (€)</t>
        </is>
      </c>
      <c r="F3" s="24" t="inlineStr">
        <is>
          <t>GNF (moyen)</t>
        </is>
      </c>
      <c r="G3" s="24" t="inlineStr">
        <is>
          <t>USD (moyen)</t>
        </is>
      </c>
      <c r="H3" s="24" t="inlineStr">
        <is>
          <t>Région / Contexte</t>
        </is>
      </c>
      <c r="I3" s="24" t="inlineStr">
        <is>
          <t>Lien source (URL)</t>
        </is>
      </c>
    </row>
    <row r="4">
      <c r="A4" s="112" t="inlineStr">
        <is>
          <t>▸  TUYAUX HDPE PN10 — Fourniture seule (prix de vente en Afrique de l'Ouest)</t>
        </is>
      </c>
      <c r="B4" s="31" t="n"/>
      <c r="C4" s="31" t="n"/>
      <c r="D4" s="31" t="n"/>
      <c r="E4" s="31" t="n"/>
      <c r="F4" s="31" t="n"/>
      <c r="G4" s="31" t="n"/>
      <c r="H4" s="31" t="n"/>
      <c r="I4" s="31" t="n"/>
    </row>
    <row r="5">
      <c r="A5" s="25" t="inlineStr">
        <is>
          <t>Tuyau HDPE PN10 DN25 (1")</t>
        </is>
      </c>
      <c r="B5" s="113" t="inlineStr">
        <is>
          <t>m</t>
        </is>
      </c>
      <c r="C5" s="114" t="n">
        <v>0.8</v>
      </c>
      <c r="D5" s="115" t="n">
        <v>1.5</v>
      </c>
      <c r="E5" s="116" t="n">
        <v>2.5</v>
      </c>
      <c r="F5" s="117" t="n">
        <v>14910</v>
      </c>
      <c r="G5" s="118" t="n">
        <v>1.72</v>
      </c>
      <c r="H5" s="119" t="inlineStr">
        <is>
          <t>Chine import / Sénégal</t>
        </is>
      </c>
      <c r="I5" s="120" t="inlineStr">
        <is>
          <t>https://www.nanya-pipe.com/hdpe-pipe.html</t>
        </is>
      </c>
    </row>
    <row r="6">
      <c r="A6" s="25" t="inlineStr">
        <is>
          <t>Tuyau HDPE PN10 DN32</t>
        </is>
      </c>
      <c r="B6" s="113" t="inlineStr">
        <is>
          <t>m</t>
        </is>
      </c>
      <c r="C6" s="114" t="n">
        <v>1.2</v>
      </c>
      <c r="D6" s="115" t="n">
        <v>2</v>
      </c>
      <c r="E6" s="116" t="n">
        <v>3.5</v>
      </c>
      <c r="F6" s="117" t="n">
        <v>19880</v>
      </c>
      <c r="G6" s="118" t="n">
        <v>2.3</v>
      </c>
      <c r="H6" s="119" t="inlineStr">
        <is>
          <t>Chine import / Afrique Ouest</t>
        </is>
      </c>
      <c r="I6" s="120" t="inlineStr">
        <is>
          <t>https://www.nanya-pipe.com/hdpe-pipe.html</t>
        </is>
      </c>
    </row>
    <row r="7">
      <c r="A7" s="25" t="inlineStr">
        <is>
          <t>Tuyau HDPE PN10 DN40</t>
        </is>
      </c>
      <c r="B7" s="113" t="inlineStr">
        <is>
          <t>m</t>
        </is>
      </c>
      <c r="C7" s="114" t="n">
        <v>1.8</v>
      </c>
      <c r="D7" s="115" t="n">
        <v>3</v>
      </c>
      <c r="E7" s="116" t="n">
        <v>4.5</v>
      </c>
      <c r="F7" s="117" t="n">
        <v>29820</v>
      </c>
      <c r="G7" s="118" t="n">
        <v>3.45</v>
      </c>
      <c r="H7" s="119" t="inlineStr">
        <is>
          <t>Chine import / Afrique Ouest</t>
        </is>
      </c>
      <c r="I7" s="120" t="inlineStr">
        <is>
          <t>www.alibaba.com/showroom/hdpe-pe100-…</t>
        </is>
      </c>
    </row>
    <row r="8">
      <c r="A8" s="25" t="inlineStr">
        <is>
          <t>Tuyau HDPE PN10 DN50 ← réseau 2nd.</t>
        </is>
      </c>
      <c r="B8" s="113" t="inlineStr">
        <is>
          <t>m</t>
        </is>
      </c>
      <c r="C8" s="114" t="n">
        <v>3</v>
      </c>
      <c r="D8" s="115" t="n">
        <v>5</v>
      </c>
      <c r="E8" s="116" t="n">
        <v>7</v>
      </c>
      <c r="F8" s="117" t="n">
        <v>49700</v>
      </c>
      <c r="G8" s="118" t="n">
        <v>5.75</v>
      </c>
      <c r="H8" s="119" t="inlineStr">
        <is>
          <t>Chine/Sénégal/Mali</t>
        </is>
      </c>
      <c r="I8" s="120" t="inlineStr">
        <is>
          <t>www.alibaba.com/showroom/hdpe-pe100-…</t>
        </is>
      </c>
    </row>
    <row r="9">
      <c r="A9" s="25" t="inlineStr">
        <is>
          <t>Tuyau HDPE PN10 DN63 ← réseau prim.</t>
        </is>
      </c>
      <c r="B9" s="113" t="inlineStr">
        <is>
          <t>m</t>
        </is>
      </c>
      <c r="C9" s="114" t="n">
        <v>5</v>
      </c>
      <c r="D9" s="115" t="n">
        <v>7.5</v>
      </c>
      <c r="E9" s="116" t="n">
        <v>10</v>
      </c>
      <c r="F9" s="117" t="n">
        <v>74550</v>
      </c>
      <c r="G9" s="118" t="n">
        <v>8.619999999999999</v>
      </c>
      <c r="H9" s="119" t="inlineStr">
        <is>
          <t>Chine/Afrique Ouest</t>
        </is>
      </c>
      <c r="I9" s="120" t="inlineStr">
        <is>
          <t>www.alibaba.com/showroom/hdpe-pe100-…</t>
        </is>
      </c>
    </row>
    <row r="10">
      <c r="A10" s="25" t="inlineStr">
        <is>
          <t>Tuyau HDPE PN10 DN75</t>
        </is>
      </c>
      <c r="B10" s="113" t="inlineStr">
        <is>
          <t>m</t>
        </is>
      </c>
      <c r="C10" s="114" t="n">
        <v>8</v>
      </c>
      <c r="D10" s="115" t="n">
        <v>11</v>
      </c>
      <c r="E10" s="116" t="n">
        <v>15</v>
      </c>
      <c r="F10" s="117" t="n">
        <v>109340</v>
      </c>
      <c r="G10" s="118" t="n">
        <v>12.65</v>
      </c>
      <c r="H10" s="119" t="inlineStr">
        <is>
          <t>Chine/Afrique Ouest</t>
        </is>
      </c>
      <c r="I10" s="120" t="inlineStr">
        <is>
          <t>www.alibaba.com/showroom/hdpe-pe100-…</t>
        </is>
      </c>
    </row>
    <row r="11">
      <c r="A11" s="25" t="inlineStr">
        <is>
          <t>Tuyau HDPE PN10 DN90 ← conduite principale</t>
        </is>
      </c>
      <c r="B11" s="113" t="inlineStr">
        <is>
          <t>m</t>
        </is>
      </c>
      <c r="C11" s="114" t="n">
        <v>12</v>
      </c>
      <c r="D11" s="115" t="n">
        <v>15</v>
      </c>
      <c r="E11" s="116" t="n">
        <v>20</v>
      </c>
      <c r="F11" s="117" t="n">
        <v>149100</v>
      </c>
      <c r="G11" s="118" t="n">
        <v>17.25</v>
      </c>
      <c r="H11" s="119" t="inlineStr">
        <is>
          <t>Chine/Afrique Ouest</t>
        </is>
      </c>
      <c r="I11" s="120" t="inlineStr">
        <is>
          <t>https://www.nanya-pipe.com/hdpe-pipe.html</t>
        </is>
      </c>
    </row>
    <row r="12">
      <c r="A12" s="25" t="inlineStr">
        <is>
          <t>Tuyau HDPE PN10 DN110</t>
        </is>
      </c>
      <c r="B12" s="113" t="inlineStr">
        <is>
          <t>m</t>
        </is>
      </c>
      <c r="C12" s="114" t="n">
        <v>16</v>
      </c>
      <c r="D12" s="115" t="n">
        <v>20</v>
      </c>
      <c r="E12" s="116" t="n">
        <v>28</v>
      </c>
      <c r="F12" s="117" t="n">
        <v>198800</v>
      </c>
      <c r="G12" s="118" t="n">
        <v>23</v>
      </c>
      <c r="H12" s="119" t="inlineStr">
        <is>
          <t>Chine/Afrique Ouest</t>
        </is>
      </c>
      <c r="I12" s="120" t="inlineStr">
        <is>
          <t>https://www.nanya-pipe.com/hdpe-pipe.html</t>
        </is>
      </c>
    </row>
    <row r="13">
      <c r="A13" s="112" t="inlineStr">
        <is>
          <t>▸  TUYAUX HDPE POSÉS TOUT COMPRIS — Matériaux + tranchée + pose + raccords</t>
        </is>
      </c>
      <c r="B13" s="31" t="n"/>
      <c r="C13" s="31" t="n"/>
      <c r="D13" s="31" t="n"/>
      <c r="E13" s="31" t="n"/>
      <c r="F13" s="31" t="n"/>
      <c r="G13" s="31" t="n"/>
      <c r="H13" s="31" t="n"/>
      <c r="I13" s="31" t="n"/>
    </row>
    <row r="14">
      <c r="A14" s="25" t="inlineStr">
        <is>
          <t>HDPE DN25 posé ← branchements</t>
        </is>
      </c>
      <c r="B14" s="113" t="inlineStr">
        <is>
          <t>m</t>
        </is>
      </c>
      <c r="C14" s="114" t="n">
        <v>6</v>
      </c>
      <c r="D14" s="115" t="n">
        <v>10</v>
      </c>
      <c r="E14" s="116" t="n">
        <v>14</v>
      </c>
      <c r="F14" s="117" t="n">
        <v>99400</v>
      </c>
      <c r="G14" s="118" t="n">
        <v>11.5</v>
      </c>
      <c r="H14" s="119" t="inlineStr">
        <is>
          <t>Guinée/AO (estimation terrain)</t>
        </is>
      </c>
      <c r="I14" s="120" t="inlineStr">
        <is>
          <t>www.ircwash.org/resources/costing-ru…</t>
        </is>
      </c>
    </row>
    <row r="15">
      <c r="A15" s="32" t="inlineStr">
        <is>
          <t>HDPE DN40 posé</t>
        </is>
      </c>
      <c r="B15" s="85" t="inlineStr">
        <is>
          <t>m</t>
        </is>
      </c>
      <c r="C15" s="121" t="n">
        <v>9</v>
      </c>
      <c r="D15" s="122" t="n">
        <v>13</v>
      </c>
      <c r="E15" s="123" t="n">
        <v>18</v>
      </c>
      <c r="F15" s="124" t="n">
        <v>129220</v>
      </c>
      <c r="G15" s="125" t="n">
        <v>14.95</v>
      </c>
      <c r="H15" s="126" t="inlineStr">
        <is>
          <t>Guinée/AO (estimation terrain)</t>
        </is>
      </c>
      <c r="I15" s="127" t="inlineStr">
        <is>
          <t>www.ircwash.org/resources/costing-ru…</t>
        </is>
      </c>
    </row>
    <row r="16">
      <c r="A16" s="25" t="inlineStr">
        <is>
          <t>HDPE DN50 posé ← réseau 2nd.</t>
        </is>
      </c>
      <c r="B16" s="113" t="inlineStr">
        <is>
          <t>m</t>
        </is>
      </c>
      <c r="C16" s="114" t="n">
        <v>11</v>
      </c>
      <c r="D16" s="115" t="n">
        <v>16</v>
      </c>
      <c r="E16" s="116" t="n">
        <v>22</v>
      </c>
      <c r="F16" s="117" t="n">
        <v>159040</v>
      </c>
      <c r="G16" s="118" t="n">
        <v>18.4</v>
      </c>
      <c r="H16" s="119" t="inlineStr">
        <is>
          <t>Guinée/AO</t>
        </is>
      </c>
      <c r="I16" s="120" t="inlineStr">
        <is>
          <t>www.ircwash.org/resources/costing-ru…</t>
        </is>
      </c>
    </row>
    <row r="17">
      <c r="A17" s="32" t="inlineStr">
        <is>
          <t>HDPE DN63 posé ← réseau prim.</t>
        </is>
      </c>
      <c r="B17" s="85" t="inlineStr">
        <is>
          <t>m</t>
        </is>
      </c>
      <c r="C17" s="121" t="n">
        <v>15</v>
      </c>
      <c r="D17" s="122" t="n">
        <v>21</v>
      </c>
      <c r="E17" s="123" t="n">
        <v>28</v>
      </c>
      <c r="F17" s="124" t="n">
        <v>208740</v>
      </c>
      <c r="G17" s="125" t="n">
        <v>24.15</v>
      </c>
      <c r="H17" s="126" t="inlineStr">
        <is>
          <t>Guinée/AO</t>
        </is>
      </c>
      <c r="I17" s="127" t="inlineStr">
        <is>
          <t>www.ircwash.org/resources/costing-ru…</t>
        </is>
      </c>
    </row>
    <row r="18">
      <c r="A18" s="25" t="inlineStr">
        <is>
          <t>HDPE DN90 posé ← tronc princ.</t>
        </is>
      </c>
      <c r="B18" s="113" t="inlineStr">
        <is>
          <t>m</t>
        </is>
      </c>
      <c r="C18" s="114" t="n">
        <v>22</v>
      </c>
      <c r="D18" s="115" t="n">
        <v>29</v>
      </c>
      <c r="E18" s="116" t="n">
        <v>38</v>
      </c>
      <c r="F18" s="117" t="n">
        <v>288260</v>
      </c>
      <c r="G18" s="118" t="n">
        <v>33.35</v>
      </c>
      <c r="H18" s="119" t="inlineStr">
        <is>
          <t>Guinée/AO</t>
        </is>
      </c>
      <c r="I18" s="120" t="inlineStr">
        <is>
          <t>www.ircwash.org/resources/costing-ru…</t>
        </is>
      </c>
    </row>
    <row r="19">
      <c r="A19" s="112" t="inlineStr">
        <is>
          <t>▸  TUYAUX PVC PN6–10 (alternative moins durable, usage hors sol déconseillé)</t>
        </is>
      </c>
      <c r="B19" s="31" t="n"/>
      <c r="C19" s="31" t="n"/>
      <c r="D19" s="31" t="n"/>
      <c r="E19" s="31" t="n"/>
      <c r="F19" s="31" t="n"/>
      <c r="G19" s="31" t="n"/>
      <c r="H19" s="31" t="n"/>
      <c r="I19" s="31" t="n"/>
    </row>
    <row r="20">
      <c r="A20" s="25" t="inlineStr">
        <is>
          <t>Tuyau PVC PN10 DN50</t>
        </is>
      </c>
      <c r="B20" s="113" t="inlineStr">
        <is>
          <t>m</t>
        </is>
      </c>
      <c r="C20" s="114" t="n">
        <v>2</v>
      </c>
      <c r="D20" s="115" t="n">
        <v>3.5</v>
      </c>
      <c r="E20" s="116" t="n">
        <v>5</v>
      </c>
      <c r="F20" s="117" t="n">
        <v>34790</v>
      </c>
      <c r="G20" s="118" t="n">
        <v>4.02</v>
      </c>
      <c r="H20" s="119" t="inlineStr">
        <is>
          <t>Afrique Ouest</t>
        </is>
      </c>
      <c r="I20" s="120" t="inlineStr">
        <is>
          <t>www.alibaba.com/showroom/pvc-pipe.ht…</t>
        </is>
      </c>
    </row>
    <row r="21">
      <c r="A21" s="32" t="inlineStr">
        <is>
          <t>Tuyau PVC PN10 DN75</t>
        </is>
      </c>
      <c r="B21" s="85" t="inlineStr">
        <is>
          <t>m</t>
        </is>
      </c>
      <c r="C21" s="121" t="n">
        <v>4</v>
      </c>
      <c r="D21" s="122" t="n">
        <v>6</v>
      </c>
      <c r="E21" s="123" t="n">
        <v>8.5</v>
      </c>
      <c r="F21" s="124" t="n">
        <v>59640</v>
      </c>
      <c r="G21" s="125" t="n">
        <v>6.9</v>
      </c>
      <c r="H21" s="126" t="inlineStr">
        <is>
          <t>Afrique Ouest</t>
        </is>
      </c>
      <c r="I21" s="127" t="inlineStr">
        <is>
          <t>www.alibaba.com/showroom/pvc-pipe.ht…</t>
        </is>
      </c>
    </row>
    <row r="22">
      <c r="A22" s="25" t="inlineStr">
        <is>
          <t>Tuyau PVC PN6 DN100</t>
        </is>
      </c>
      <c r="B22" s="113" t="inlineStr">
        <is>
          <t>m</t>
        </is>
      </c>
      <c r="C22" s="114" t="n">
        <v>6</v>
      </c>
      <c r="D22" s="115" t="n">
        <v>9</v>
      </c>
      <c r="E22" s="116" t="n">
        <v>13</v>
      </c>
      <c r="F22" s="117" t="n">
        <v>89460</v>
      </c>
      <c r="G22" s="118" t="n">
        <v>10.35</v>
      </c>
      <c r="H22" s="119" t="inlineStr">
        <is>
          <t>Afrique Ouest</t>
        </is>
      </c>
      <c r="I22" s="120" t="inlineStr">
        <is>
          <t>www.alibaba.com/showroom/pvc-pipe.ht…</t>
        </is>
      </c>
    </row>
    <row r="23">
      <c r="A23" s="32" t="inlineStr">
        <is>
          <t>Tuyau PVC PN6 DN110</t>
        </is>
      </c>
      <c r="B23" s="85" t="inlineStr">
        <is>
          <t>m</t>
        </is>
      </c>
      <c r="C23" s="121" t="n">
        <v>7</v>
      </c>
      <c r="D23" s="122" t="n">
        <v>10</v>
      </c>
      <c r="E23" s="123" t="n">
        <v>14</v>
      </c>
      <c r="F23" s="124" t="n">
        <v>99400</v>
      </c>
      <c r="G23" s="125" t="n">
        <v>11.5</v>
      </c>
      <c r="H23" s="126" t="inlineStr">
        <is>
          <t>Afrique Ouest</t>
        </is>
      </c>
      <c r="I23" s="127" t="inlineStr">
        <is>
          <t>www.alibaba.com/showroom/pvc-pipe.ht…</t>
        </is>
      </c>
    </row>
    <row r="24"/>
    <row r="25">
      <c r="A25" s="112" t="inlineStr">
        <is>
          <t>▸  RACCORDS ET PIÈCES SPÉCIALES HDPE (coude, té, manchon — prix unitaire)</t>
        </is>
      </c>
      <c r="B25" s="31" t="n"/>
      <c r="C25" s="31" t="n"/>
      <c r="D25" s="31" t="n"/>
      <c r="E25" s="31" t="n"/>
      <c r="F25" s="31" t="n"/>
      <c r="G25" s="31" t="n"/>
      <c r="H25" s="31" t="n"/>
      <c r="I25" s="31" t="n"/>
    </row>
    <row r="26">
      <c r="A26" s="25" t="inlineStr">
        <is>
          <t>Coude 90° HDPE DN50 (soudé bout-à-bout)</t>
        </is>
      </c>
      <c r="B26" s="113" t="inlineStr">
        <is>
          <t>unité</t>
        </is>
      </c>
      <c r="C26" s="114" t="n">
        <v>4</v>
      </c>
      <c r="D26" s="115" t="n">
        <v>7</v>
      </c>
      <c r="E26" s="116" t="n">
        <v>12</v>
      </c>
      <c r="F26" s="117" t="n">
        <v>69580</v>
      </c>
      <c r="G26" s="118" t="n">
        <v>8.050000000000001</v>
      </c>
      <c r="H26" s="119" t="inlineStr">
        <is>
          <t>Afrique Ouest / Chine import</t>
        </is>
      </c>
      <c r="I26" s="120" t="inlineStr">
        <is>
          <t>www.alibaba.com/showroom/hdpe-elbow.…</t>
        </is>
      </c>
    </row>
    <row r="27">
      <c r="A27" s="32" t="inlineStr">
        <is>
          <t>Té égal HDPE DN50</t>
        </is>
      </c>
      <c r="B27" s="85" t="inlineStr">
        <is>
          <t>unité</t>
        </is>
      </c>
      <c r="C27" s="121" t="n">
        <v>6</v>
      </c>
      <c r="D27" s="122" t="n">
        <v>10</v>
      </c>
      <c r="E27" s="123" t="n">
        <v>16</v>
      </c>
      <c r="F27" s="124" t="n">
        <v>99400</v>
      </c>
      <c r="G27" s="125" t="n">
        <v>11.5</v>
      </c>
      <c r="H27" s="126" t="inlineStr">
        <is>
          <t>Afrique Ouest / Chine import</t>
        </is>
      </c>
      <c r="I27" s="127" t="inlineStr">
        <is>
          <t>www.alibaba.com/showroom/hdpe-tee.ht…</t>
        </is>
      </c>
    </row>
    <row r="28">
      <c r="A28" s="25" t="inlineStr">
        <is>
          <t>Manchon HDPE DN50</t>
        </is>
      </c>
      <c r="B28" s="113" t="inlineStr">
        <is>
          <t>unité</t>
        </is>
      </c>
      <c r="C28" s="114" t="n">
        <v>2</v>
      </c>
      <c r="D28" s="115" t="n">
        <v>4</v>
      </c>
      <c r="E28" s="116" t="n">
        <v>6</v>
      </c>
      <c r="F28" s="117" t="n">
        <v>39760</v>
      </c>
      <c r="G28" s="118" t="n">
        <v>4.6</v>
      </c>
      <c r="H28" s="119" t="inlineStr">
        <is>
          <t>Afrique Ouest / Chine import</t>
        </is>
      </c>
      <c r="I28" s="120" t="inlineStr">
        <is>
          <t>www.alibaba.com/showroom/hdpe-coupli…</t>
        </is>
      </c>
    </row>
    <row r="29">
      <c r="A29" s="32" t="inlineStr">
        <is>
          <t>Réducteur HDPE DN90→DN50</t>
        </is>
      </c>
      <c r="B29" s="85" t="inlineStr">
        <is>
          <t>unité</t>
        </is>
      </c>
      <c r="C29" s="121" t="n">
        <v>8</v>
      </c>
      <c r="D29" s="122" t="n">
        <v>14</v>
      </c>
      <c r="E29" s="123" t="n">
        <v>22</v>
      </c>
      <c r="F29" s="124" t="n">
        <v>139160</v>
      </c>
      <c r="G29" s="125" t="n">
        <v>16.1</v>
      </c>
      <c r="H29" s="126" t="inlineStr">
        <is>
          <t>Afrique Ouest / Chine import</t>
        </is>
      </c>
      <c r="I29" s="127" t="inlineStr">
        <is>
          <t>www.alibaba.com/showroom/hdpe-reduce…</t>
        </is>
      </c>
    </row>
    <row r="30">
      <c r="A30" s="25" t="inlineStr">
        <is>
          <t>Raccords et pièces (forfait % tuyaux)</t>
        </is>
      </c>
      <c r="B30" s="113" t="inlineStr">
        <is>
          <t>% coût tuyau</t>
        </is>
      </c>
      <c r="C30" s="114" t="n">
        <v>15</v>
      </c>
      <c r="D30" s="115" t="n">
        <v>20</v>
      </c>
      <c r="E30" s="116" t="n">
        <v>25</v>
      </c>
      <c r="F30" s="117" t="n">
        <v>198800</v>
      </c>
      <c r="G30" s="118" t="n">
        <v>23</v>
      </c>
      <c r="H30" s="119" t="inlineStr">
        <is>
          <t>Standard ingénierie (Afrique Ouest)</t>
        </is>
      </c>
      <c r="I30" s="120" t="inlineStr">
        <is>
          <t>www.ircwash.org/resources/costing-ru…</t>
        </is>
      </c>
    </row>
    <row r="31"/>
    <row r="32">
      <c r="A32" s="112" t="inlineStr">
        <is>
          <t>▸  VANNES ET ROBINETTERIE</t>
        </is>
      </c>
      <c r="B32" s="31" t="n"/>
      <c r="C32" s="31" t="n"/>
      <c r="D32" s="31" t="n"/>
      <c r="E32" s="31" t="n"/>
      <c r="F32" s="31" t="n"/>
      <c r="G32" s="31" t="n"/>
      <c r="H32" s="31" t="n"/>
      <c r="I32" s="31" t="n"/>
    </row>
    <row r="33">
      <c r="A33" s="25" t="inlineStr">
        <is>
          <t>Vanne sectionnement DN25 (gate valve)</t>
        </is>
      </c>
      <c r="B33" s="113" t="inlineStr">
        <is>
          <t>unité</t>
        </is>
      </c>
      <c r="C33" s="114" t="n">
        <v>8</v>
      </c>
      <c r="D33" s="115" t="n">
        <v>14</v>
      </c>
      <c r="E33" s="116" t="n">
        <v>22</v>
      </c>
      <c r="F33" s="117" t="n">
        <v>139160</v>
      </c>
      <c r="G33" s="118" t="n">
        <v>16.1</v>
      </c>
      <c r="H33" s="119" t="inlineStr">
        <is>
          <t>Afrique Ouest / import</t>
        </is>
      </c>
      <c r="I33" s="120" t="inlineStr">
        <is>
          <t>www.alibaba.com/showroom/gate-valve.…</t>
        </is>
      </c>
    </row>
    <row r="34">
      <c r="A34" s="32" t="inlineStr">
        <is>
          <t>Vanne sectionnement DN40</t>
        </is>
      </c>
      <c r="B34" s="85" t="inlineStr">
        <is>
          <t>unité</t>
        </is>
      </c>
      <c r="C34" s="121" t="n">
        <v>15</v>
      </c>
      <c r="D34" s="122" t="n">
        <v>25</v>
      </c>
      <c r="E34" s="123" t="n">
        <v>38</v>
      </c>
      <c r="F34" s="124" t="n">
        <v>248500</v>
      </c>
      <c r="G34" s="125" t="n">
        <v>28.75</v>
      </c>
      <c r="H34" s="126" t="inlineStr">
        <is>
          <t>Afrique Ouest / import</t>
        </is>
      </c>
      <c r="I34" s="127" t="inlineStr">
        <is>
          <t>www.alibaba.com/showroom/gate-valve.…</t>
        </is>
      </c>
    </row>
    <row r="35">
      <c r="A35" s="25" t="inlineStr">
        <is>
          <t>Vanne sectionnement DN50</t>
        </is>
      </c>
      <c r="B35" s="113" t="inlineStr">
        <is>
          <t>unité</t>
        </is>
      </c>
      <c r="C35" s="114" t="n">
        <v>22</v>
      </c>
      <c r="D35" s="115" t="n">
        <v>38</v>
      </c>
      <c r="E35" s="116" t="n">
        <v>55</v>
      </c>
      <c r="F35" s="117" t="n">
        <v>377720</v>
      </c>
      <c r="G35" s="118" t="n">
        <v>43.7</v>
      </c>
      <c r="H35" s="119" t="inlineStr">
        <is>
          <t>Afrique Ouest / import</t>
        </is>
      </c>
      <c r="I35" s="120" t="inlineStr">
        <is>
          <t>www.alibaba.com/showroom/gate-valve.…</t>
        </is>
      </c>
    </row>
    <row r="36">
      <c r="A36" s="32" t="inlineStr">
        <is>
          <t>Vanne sectionnement DN75</t>
        </is>
      </c>
      <c r="B36" s="85" t="inlineStr">
        <is>
          <t>unité</t>
        </is>
      </c>
      <c r="C36" s="121" t="n">
        <v>38</v>
      </c>
      <c r="D36" s="122" t="n">
        <v>60</v>
      </c>
      <c r="E36" s="123" t="n">
        <v>80</v>
      </c>
      <c r="F36" s="124" t="n">
        <v>596400</v>
      </c>
      <c r="G36" s="125" t="n">
        <v>69</v>
      </c>
      <c r="H36" s="126" t="inlineStr">
        <is>
          <t>Afrique Ouest / import</t>
        </is>
      </c>
      <c r="I36" s="127" t="inlineStr">
        <is>
          <t>www.alibaba.com/showroom/gate-valve.…</t>
        </is>
      </c>
    </row>
    <row r="37">
      <c r="A37" s="25" t="inlineStr">
        <is>
          <t>Vanne sectionnement DN90</t>
        </is>
      </c>
      <c r="B37" s="113" t="inlineStr">
        <is>
          <t>unité</t>
        </is>
      </c>
      <c r="C37" s="114" t="n">
        <v>55</v>
      </c>
      <c r="D37" s="115" t="n">
        <v>80</v>
      </c>
      <c r="E37" s="116" t="n">
        <v>110</v>
      </c>
      <c r="F37" s="117" t="n">
        <v>795200</v>
      </c>
      <c r="G37" s="118" t="n">
        <v>92</v>
      </c>
      <c r="H37" s="119" t="inlineStr">
        <is>
          <t>Afrique Ouest / import</t>
        </is>
      </c>
      <c r="I37" s="120" t="inlineStr">
        <is>
          <t>www.alibaba.com/showroom/gate-valve.…</t>
        </is>
      </c>
    </row>
    <row r="38">
      <c r="A38" s="32" t="inlineStr">
        <is>
          <t>Ventouse / purgeur d'air DN50</t>
        </is>
      </c>
      <c r="B38" s="85" t="inlineStr">
        <is>
          <t>unité</t>
        </is>
      </c>
      <c r="C38" s="121" t="n">
        <v>22</v>
      </c>
      <c r="D38" s="122" t="n">
        <v>38</v>
      </c>
      <c r="E38" s="123" t="n">
        <v>55</v>
      </c>
      <c r="F38" s="124" t="n">
        <v>377720</v>
      </c>
      <c r="G38" s="125" t="n">
        <v>43.7</v>
      </c>
      <c r="H38" s="126" t="inlineStr">
        <is>
          <t>Afrique Ouest / import</t>
        </is>
      </c>
      <c r="I38" s="127" t="inlineStr">
        <is>
          <t>www.alibaba.com/showroom/air-release…</t>
        </is>
      </c>
    </row>
    <row r="39">
      <c r="A39" s="25" t="inlineStr">
        <is>
          <t>Réducteur de pression PRV DN40</t>
        </is>
      </c>
      <c r="B39" s="113" t="inlineStr">
        <is>
          <t>unité</t>
        </is>
      </c>
      <c r="C39" s="114" t="n">
        <v>70</v>
      </c>
      <c r="D39" s="115" t="n">
        <v>110</v>
      </c>
      <c r="E39" s="116" t="n">
        <v>180</v>
      </c>
      <c r="F39" s="117" t="n">
        <v>1093400</v>
      </c>
      <c r="G39" s="118" t="n">
        <v>126.5</v>
      </c>
      <c r="H39" s="119" t="inlineStr">
        <is>
          <t>Afrique Ouest / import</t>
        </is>
      </c>
      <c r="I39" s="120" t="inlineStr">
        <is>
          <t>www.alibaba.com/showroom/pressure-re…</t>
        </is>
      </c>
    </row>
    <row r="40">
      <c r="A40" s="32" t="inlineStr">
        <is>
          <t>Clapet anti-retour DN50</t>
        </is>
      </c>
      <c r="B40" s="85" t="inlineStr">
        <is>
          <t>unité</t>
        </is>
      </c>
      <c r="C40" s="121" t="n">
        <v>18</v>
      </c>
      <c r="D40" s="122" t="n">
        <v>30</v>
      </c>
      <c r="E40" s="123" t="n">
        <v>50</v>
      </c>
      <c r="F40" s="124" t="n">
        <v>298200</v>
      </c>
      <c r="G40" s="125" t="n">
        <v>34.5</v>
      </c>
      <c r="H40" s="126" t="inlineStr">
        <is>
          <t>Afrique Ouest / import</t>
        </is>
      </c>
      <c r="I40" s="127" t="inlineStr">
        <is>
          <t>www.alibaba.com/showroom/check-valve…</t>
        </is>
      </c>
    </row>
    <row r="41">
      <c r="A41" s="25" t="inlineStr">
        <is>
          <t>Regard de vanne béton (50×50×50)</t>
        </is>
      </c>
      <c r="B41" s="113" t="inlineStr">
        <is>
          <t>unité</t>
        </is>
      </c>
      <c r="C41" s="114" t="n">
        <v>70</v>
      </c>
      <c r="D41" s="115" t="n">
        <v>110</v>
      </c>
      <c r="E41" s="116" t="n">
        <v>160</v>
      </c>
      <c r="F41" s="117" t="n">
        <v>1093400</v>
      </c>
      <c r="G41" s="118" t="n">
        <v>126.5</v>
      </c>
      <c r="H41" s="119" t="inlineStr">
        <is>
          <t>Guinée rurale (estimation)</t>
        </is>
      </c>
      <c r="I41" s="120" t="inlineStr">
        <is>
          <t>watermission.org/wp-content/uploads/…</t>
        </is>
      </c>
    </row>
    <row r="42">
      <c r="A42" s="32" t="inlineStr">
        <is>
          <t>Compteur volumétrique 15mm</t>
        </is>
      </c>
      <c r="B42" s="85" t="inlineStr">
        <is>
          <t>unité</t>
        </is>
      </c>
      <c r="C42" s="121" t="n">
        <v>32</v>
      </c>
      <c r="D42" s="122" t="n">
        <v>48</v>
      </c>
      <c r="E42" s="123" t="n">
        <v>68</v>
      </c>
      <c r="F42" s="124" t="n">
        <v>477120</v>
      </c>
      <c r="G42" s="125" t="n">
        <v>55.2</v>
      </c>
      <c r="H42" s="126" t="inlineStr">
        <is>
          <t>Afrique Ouest / import</t>
        </is>
      </c>
      <c r="I42" s="127" t="inlineStr">
        <is>
          <t>www.alibaba.com/showroom/water-meter…</t>
        </is>
      </c>
    </row>
    <row r="43"/>
    <row r="44">
      <c r="A44" s="112" t="inlineStr">
        <is>
          <t>▸  BORNES-FONTAINES ET POINTS D'EAU PUBLICS (fourniture + installation)</t>
        </is>
      </c>
      <c r="B44" s="31" t="n"/>
      <c r="C44" s="31" t="n"/>
      <c r="D44" s="31" t="n"/>
      <c r="E44" s="31" t="n"/>
      <c r="F44" s="31" t="n"/>
      <c r="G44" s="31" t="n"/>
      <c r="H44" s="31" t="n"/>
      <c r="I44" s="31" t="n"/>
    </row>
    <row r="45">
      <c r="A45" s="25" t="inlineStr">
        <is>
          <t>Borne-fontaine simple (1 robinet + dalle béton)</t>
        </is>
      </c>
      <c r="B45" s="113" t="inlineStr">
        <is>
          <t>unité</t>
        </is>
      </c>
      <c r="C45" s="114" t="n">
        <v>500</v>
      </c>
      <c r="D45" s="115" t="n">
        <v>800</v>
      </c>
      <c r="E45" s="116" t="n">
        <v>1100</v>
      </c>
      <c r="F45" s="117" t="n">
        <v>7952000</v>
      </c>
      <c r="G45" s="118" t="n">
        <v>920</v>
      </c>
      <c r="H45" s="119" t="inlineStr">
        <is>
          <t>Burkina Faso / WASHCost 2019</t>
        </is>
      </c>
      <c r="I45" s="120" t="inlineStr">
        <is>
          <t>www.scribd.com/document/522667322/82…</t>
        </is>
      </c>
    </row>
    <row r="46">
      <c r="A46" s="32" t="inlineStr">
        <is>
          <t>Borne-fontaine standard (2 robinets + dalle + drainage)</t>
        </is>
      </c>
      <c r="B46" s="85" t="inlineStr">
        <is>
          <t>unité</t>
        </is>
      </c>
      <c r="C46" s="121" t="n">
        <v>1300</v>
      </c>
      <c r="D46" s="122" t="n">
        <v>2000</v>
      </c>
      <c r="E46" s="123" t="n">
        <v>2800</v>
      </c>
      <c r="F46" s="124" t="n">
        <v>19880000</v>
      </c>
      <c r="G46" s="125" t="n">
        <v>2300</v>
      </c>
      <c r="H46" s="126" t="inlineStr">
        <is>
          <t>Burkina Faso ONEA / WASHCost 2019</t>
        </is>
      </c>
      <c r="I46" s="127" t="inlineStr">
        <is>
          <t>www.scribd.com/document/522667322/82…</t>
        </is>
      </c>
    </row>
    <row r="47">
      <c r="A47" s="25" t="inlineStr">
        <is>
          <t>Kiosque eau complet (2 rob. + toit + local gérant)</t>
        </is>
      </c>
      <c r="B47" s="113" t="inlineStr">
        <is>
          <t>unité</t>
        </is>
      </c>
      <c r="C47" s="114" t="n">
        <v>2800</v>
      </c>
      <c r="D47" s="115" t="n">
        <v>4000</v>
      </c>
      <c r="E47" s="116" t="n">
        <v>6000</v>
      </c>
      <c r="F47" s="117" t="n">
        <v>39760000</v>
      </c>
      <c r="G47" s="118" t="n">
        <v>4600</v>
      </c>
      <c r="H47" s="119" t="inlineStr">
        <is>
          <t>Afrique Ouest — estimation ONG</t>
        </is>
      </c>
      <c r="I47" s="120" t="inlineStr">
        <is>
          <t>watermission.org/wp-content/uploads/…</t>
        </is>
      </c>
    </row>
    <row r="48">
      <c r="A48" s="32" t="inlineStr">
        <is>
          <t>Génie civil BF (dalle 3×3m + caniveau + puits perdu)</t>
        </is>
      </c>
      <c r="B48" s="85" t="inlineStr">
        <is>
          <t>unité</t>
        </is>
      </c>
      <c r="C48" s="121" t="n">
        <v>450</v>
      </c>
      <c r="D48" s="122" t="n">
        <v>700</v>
      </c>
      <c r="E48" s="123" t="n">
        <v>1000</v>
      </c>
      <c r="F48" s="124" t="n">
        <v>6958000</v>
      </c>
      <c r="G48" s="125" t="n">
        <v>805</v>
      </c>
      <c r="H48" s="126" t="inlineStr">
        <is>
          <t>Guinée rurale (estimation terrain)</t>
        </is>
      </c>
      <c r="I48" s="127" t="inlineStr">
        <is>
          <t>www.ircwash.org/resources/costing-ru…</t>
        </is>
      </c>
    </row>
    <row r="49">
      <c r="A49" s="25" t="inlineStr">
        <is>
          <t>BF complète installée (BF standard + GC)</t>
        </is>
      </c>
      <c r="B49" s="113" t="inlineStr">
        <is>
          <t>unité</t>
        </is>
      </c>
      <c r="C49" s="114" t="n">
        <v>1750</v>
      </c>
      <c r="D49" s="115" t="n">
        <v>2700</v>
      </c>
      <c r="E49" s="116" t="n">
        <v>3800</v>
      </c>
      <c r="F49" s="117" t="n">
        <v>26838000</v>
      </c>
      <c r="G49" s="118" t="n">
        <v>3105</v>
      </c>
      <c r="H49" s="119" t="inlineStr">
        <is>
          <t>Synthèse WASHCost + terrain AO</t>
        </is>
      </c>
      <c r="I49" s="120" t="inlineStr">
        <is>
          <t>www.scribd.com/document/522667322/82…</t>
        </is>
      </c>
    </row>
    <row r="50">
      <c r="A50" s="32" t="inlineStr">
        <is>
          <t>OPEX annuel BF (exploitation / gérant / entretien)</t>
        </is>
      </c>
      <c r="B50" s="85" t="inlineStr">
        <is>
          <t>€/an/BF</t>
        </is>
      </c>
      <c r="C50" s="121" t="n">
        <v>1200</v>
      </c>
      <c r="D50" s="122" t="n">
        <v>1700</v>
      </c>
      <c r="E50" s="123" t="n">
        <v>2400</v>
      </c>
      <c r="F50" s="124" t="n">
        <v>16898000</v>
      </c>
      <c r="G50" s="125" t="n">
        <v>1955</v>
      </c>
      <c r="H50" s="126" t="inlineStr">
        <is>
          <t>WASHCost Burkina Faso 2019</t>
        </is>
      </c>
      <c r="I50" s="127" t="inlineStr">
        <is>
          <t>www.scribd.com/document/522667322/82…</t>
        </is>
      </c>
    </row>
    <row r="51"/>
    <row r="52">
      <c r="A52" s="112" t="inlineStr">
        <is>
          <t>▸  RÉSERVOIR EN HAUTEUR / CHÂTEAU D'EAU (acier galvanisé sur tour métallique)</t>
        </is>
      </c>
      <c r="B52" s="31" t="n"/>
      <c r="C52" s="31" t="n"/>
      <c r="D52" s="31" t="n"/>
      <c r="E52" s="31" t="n"/>
      <c r="F52" s="31" t="n"/>
      <c r="G52" s="31" t="n"/>
      <c r="H52" s="31" t="n"/>
      <c r="I52" s="31" t="n"/>
    </row>
    <row r="53">
      <c r="A53" s="25" t="inlineStr">
        <is>
          <t>Réservoir acier galvanisé 5 m³ sur tour 10m</t>
        </is>
      </c>
      <c r="B53" s="113" t="inlineStr">
        <is>
          <t>unité</t>
        </is>
      </c>
      <c r="C53" s="114" t="n">
        <v>5000</v>
      </c>
      <c r="D53" s="115" t="n">
        <v>8000</v>
      </c>
      <c r="E53" s="116" t="n">
        <v>14000</v>
      </c>
      <c r="F53" s="117" t="n">
        <v>79520000</v>
      </c>
      <c r="G53" s="118" t="n">
        <v>9200</v>
      </c>
      <c r="H53" s="119" t="inlineStr">
        <is>
          <t>Afrique Ouest (import Chine + assemblage local)</t>
        </is>
      </c>
      <c r="I53" s="120" t="inlineStr">
        <is>
          <t>www.alibaba.com/showroom/water-tower…</t>
        </is>
      </c>
    </row>
    <row r="54">
      <c r="A54" s="32" t="inlineStr">
        <is>
          <t>Réservoir acier galvanisé 10 m³ sur tour 10m</t>
        </is>
      </c>
      <c r="B54" s="85" t="inlineStr">
        <is>
          <t>unité</t>
        </is>
      </c>
      <c r="C54" s="121" t="n">
        <v>8000</v>
      </c>
      <c r="D54" s="122" t="n">
        <v>13000</v>
      </c>
      <c r="E54" s="123" t="n">
        <v>22000</v>
      </c>
      <c r="F54" s="124" t="n">
        <v>129220000</v>
      </c>
      <c r="G54" s="125" t="n">
        <v>14950</v>
      </c>
      <c r="H54" s="126" t="inlineStr">
        <is>
          <t>Afrique Ouest</t>
        </is>
      </c>
      <c r="I54" s="127" t="inlineStr">
        <is>
          <t>www.alibaba.com/showroom/water-tower…</t>
        </is>
      </c>
    </row>
    <row r="55">
      <c r="A55" s="25" t="inlineStr">
        <is>
          <t>Réservoir acier galvanisé 20 m³ sur tour 10m</t>
        </is>
      </c>
      <c r="B55" s="113" t="inlineStr">
        <is>
          <t>unité</t>
        </is>
      </c>
      <c r="C55" s="114" t="n">
        <v>13000</v>
      </c>
      <c r="D55" s="115" t="n">
        <v>20000</v>
      </c>
      <c r="E55" s="116" t="n">
        <v>32000</v>
      </c>
      <c r="F55" s="117" t="n">
        <v>198800000</v>
      </c>
      <c r="G55" s="118" t="n">
        <v>23000</v>
      </c>
      <c r="H55" s="119" t="inlineStr">
        <is>
          <t>Afrique Ouest / Chine import</t>
        </is>
      </c>
      <c r="I55" s="120" t="inlineStr">
        <is>
          <t>www.alibaba.com/showroom/water-tower…</t>
        </is>
      </c>
    </row>
    <row r="56">
      <c r="A56" s="32" t="inlineStr">
        <is>
          <t>Réservoir acier galvanisé 40 m³ sur tour 10m ← notre village</t>
        </is>
      </c>
      <c r="B56" s="85" t="inlineStr">
        <is>
          <t>unité</t>
        </is>
      </c>
      <c r="C56" s="121" t="n">
        <v>20000</v>
      </c>
      <c r="D56" s="122" t="n">
        <v>30000</v>
      </c>
      <c r="E56" s="123" t="n">
        <v>45000</v>
      </c>
      <c r="F56" s="124" t="n">
        <v>298200000</v>
      </c>
      <c r="G56" s="125" t="n">
        <v>34500</v>
      </c>
      <c r="H56" s="126" t="inlineStr">
        <is>
          <t>Analogie projets World Bank AO 2020</t>
        </is>
      </c>
      <c r="I56" s="127" t="inlineStr">
        <is>
          <t>documents1.worldbank.org/curated/en/…</t>
        </is>
      </c>
    </row>
    <row r="57">
      <c r="A57" s="25" t="inlineStr">
        <is>
          <t>Réservoir béton armé 40 m³ + tour béton 10m</t>
        </is>
      </c>
      <c r="B57" s="113" t="inlineStr">
        <is>
          <t>unité</t>
        </is>
      </c>
      <c r="C57" s="114" t="n">
        <v>15000</v>
      </c>
      <c r="D57" s="115" t="n">
        <v>24000</v>
      </c>
      <c r="E57" s="116" t="n">
        <v>38000</v>
      </c>
      <c r="F57" s="117" t="n">
        <v>238560000</v>
      </c>
      <c r="G57" s="118" t="n">
        <v>27600</v>
      </c>
      <c r="H57" s="119" t="inlineStr">
        <is>
          <t>Guinée / Mali (BTP local)</t>
        </is>
      </c>
      <c r="I57" s="120" t="inlineStr">
        <is>
          <t>watermission.org/wp-content/uploads/…</t>
        </is>
      </c>
    </row>
    <row r="58">
      <c r="A58" s="32" t="inlineStr">
        <is>
          <t>Réservoir plastique HDPE 5000L (sans tour)</t>
        </is>
      </c>
      <c r="B58" s="85" t="inlineStr">
        <is>
          <t>unité</t>
        </is>
      </c>
      <c r="C58" s="121" t="n">
        <v>600</v>
      </c>
      <c r="D58" s="122" t="n">
        <v>900</v>
      </c>
      <c r="E58" s="123" t="n">
        <v>1400</v>
      </c>
      <c r="F58" s="124" t="n">
        <v>8946000</v>
      </c>
      <c r="G58" s="125" t="n">
        <v>1035</v>
      </c>
      <c r="H58" s="126" t="inlineStr">
        <is>
          <t>Alibaba Chine / marchés AO</t>
        </is>
      </c>
      <c r="I58" s="127" t="inlineStr">
        <is>
          <t>www.alibaba.com/showroom/water-stora…</t>
        </is>
      </c>
    </row>
    <row r="59">
      <c r="A59" s="25" t="inlineStr">
        <is>
          <t>Supplément tour métallique (5m de hauteur)</t>
        </is>
      </c>
      <c r="B59" s="113" t="inlineStr">
        <is>
          <t>unité</t>
        </is>
      </c>
      <c r="C59" s="114" t="n">
        <v>2500</v>
      </c>
      <c r="D59" s="115" t="n">
        <v>4000</v>
      </c>
      <c r="E59" s="116" t="n">
        <v>7000</v>
      </c>
      <c r="F59" s="117" t="n">
        <v>39760000</v>
      </c>
      <c r="G59" s="118" t="n">
        <v>4600</v>
      </c>
      <c r="H59" s="119" t="inlineStr">
        <is>
          <t>Afrique Ouest (fabrication locale)</t>
        </is>
      </c>
      <c r="I59" s="120" t="inlineStr">
        <is>
          <t>watermission.org/wp-content/uploads/…</t>
        </is>
      </c>
    </row>
    <row r="60"/>
    <row r="61">
      <c r="A61" s="112" t="inlineStr">
        <is>
          <t>▸  SYSTÈME MOTORISÉ DE POMPAGE (forage + pompe + groupe électrogène)</t>
        </is>
      </c>
      <c r="B61" s="31" t="n"/>
      <c r="C61" s="31" t="n"/>
      <c r="D61" s="31" t="n"/>
      <c r="E61" s="31" t="n"/>
      <c r="F61" s="31" t="n"/>
      <c r="G61" s="31" t="n"/>
      <c r="H61" s="31" t="n"/>
      <c r="I61" s="31" t="n"/>
    </row>
    <row r="62">
      <c r="A62" s="25" t="inlineStr">
        <is>
          <t>Pompe submersible électrique 0.5 kW</t>
        </is>
      </c>
      <c r="B62" s="113" t="inlineStr">
        <is>
          <t>unité</t>
        </is>
      </c>
      <c r="C62" s="114" t="n">
        <v>180</v>
      </c>
      <c r="D62" s="115" t="n">
        <v>320</v>
      </c>
      <c r="E62" s="116" t="n">
        <v>600</v>
      </c>
      <c r="F62" s="117" t="n">
        <v>3180800</v>
      </c>
      <c r="G62" s="118" t="n">
        <v>368</v>
      </c>
      <c r="H62" s="119" t="inlineStr">
        <is>
          <t>Alibaba Chine / marchés AO</t>
        </is>
      </c>
      <c r="I62" s="120" t="inlineStr">
        <is>
          <t>www.alibaba.com/showroom/submersible…</t>
        </is>
      </c>
    </row>
    <row r="63">
      <c r="A63" s="32" t="inlineStr">
        <is>
          <t>Pompe submersible électrique 1.1 kW</t>
        </is>
      </c>
      <c r="B63" s="85" t="inlineStr">
        <is>
          <t>unité</t>
        </is>
      </c>
      <c r="C63" s="121" t="n">
        <v>300</v>
      </c>
      <c r="D63" s="122" t="n">
        <v>550</v>
      </c>
      <c r="E63" s="123" t="n">
        <v>900</v>
      </c>
      <c r="F63" s="124" t="n">
        <v>5467000</v>
      </c>
      <c r="G63" s="125" t="n">
        <v>632.5</v>
      </c>
      <c r="H63" s="126" t="inlineStr">
        <is>
          <t>Alibaba Chine / Sénégal</t>
        </is>
      </c>
      <c r="I63" s="127" t="inlineStr">
        <is>
          <t>www.alibaba.com/showroom/submersible…</t>
        </is>
      </c>
    </row>
    <row r="64">
      <c r="A64" s="25" t="inlineStr">
        <is>
          <t>Pompe submersible électrique 2.2 kW</t>
        </is>
      </c>
      <c r="B64" s="113" t="inlineStr">
        <is>
          <t>unité</t>
        </is>
      </c>
      <c r="C64" s="114" t="n">
        <v>500</v>
      </c>
      <c r="D64" s="115" t="n">
        <v>900</v>
      </c>
      <c r="E64" s="116" t="n">
        <v>1500</v>
      </c>
      <c r="F64" s="117" t="n">
        <v>8946000</v>
      </c>
      <c r="G64" s="118" t="n">
        <v>1035</v>
      </c>
      <c r="H64" s="119" t="inlineStr">
        <is>
          <t>Alibaba Chine / Afrique Ouest</t>
        </is>
      </c>
      <c r="I64" s="120" t="inlineStr">
        <is>
          <t>www.alibaba.com/showroom/submersible…</t>
        </is>
      </c>
    </row>
    <row r="65">
      <c r="A65" s="32" t="inlineStr">
        <is>
          <t>Pompe solaire kit complet (1 kW panneaux + pompe + contrôleur)</t>
        </is>
      </c>
      <c r="B65" s="85" t="inlineStr">
        <is>
          <t>kit</t>
        </is>
      </c>
      <c r="C65" s="121" t="n">
        <v>1200</v>
      </c>
      <c r="D65" s="122" t="n">
        <v>2200</v>
      </c>
      <c r="E65" s="123" t="n">
        <v>4000</v>
      </c>
      <c r="F65" s="124" t="n">
        <v>21868000</v>
      </c>
      <c r="G65" s="125" t="n">
        <v>2530</v>
      </c>
      <c r="H65" s="126" t="inlineStr">
        <is>
          <t>Alibaba Chine import / Sénégal 2023</t>
        </is>
      </c>
      <c r="I65" s="127" t="inlineStr">
        <is>
          <t>www.alibaba.com/showroom/solar-water…</t>
        </is>
      </c>
    </row>
    <row r="66">
      <c r="A66" s="25" t="inlineStr">
        <is>
          <t>Groupe électrogène diesel 3 kVA (backup pompe)</t>
        </is>
      </c>
      <c r="B66" s="113" t="inlineStr">
        <is>
          <t>unité</t>
        </is>
      </c>
      <c r="C66" s="114" t="n">
        <v>1200</v>
      </c>
      <c r="D66" s="115" t="n">
        <v>2000</v>
      </c>
      <c r="E66" s="116" t="n">
        <v>3500</v>
      </c>
      <c r="F66" s="117" t="n">
        <v>19880000</v>
      </c>
      <c r="G66" s="118" t="n">
        <v>2300</v>
      </c>
      <c r="H66" s="119" t="inlineStr">
        <is>
          <t>Afrique Ouest / marchés locaux</t>
        </is>
      </c>
      <c r="I66" s="120" t="inlineStr">
        <is>
          <t>www.alibaba.com/showroom/diesel-gene…</t>
        </is>
      </c>
    </row>
    <row r="67">
      <c r="A67" s="32" t="inlineStr">
        <is>
          <t>Système motorisé complet (pompe + groupe + cablage + génie civil)</t>
        </is>
      </c>
      <c r="B67" s="85" t="inlineStr">
        <is>
          <t>forfait</t>
        </is>
      </c>
      <c r="C67" s="121" t="n">
        <v>5000</v>
      </c>
      <c r="D67" s="122" t="n">
        <v>10000</v>
      </c>
      <c r="E67" s="123" t="n">
        <v>18000</v>
      </c>
      <c r="F67" s="124" t="n">
        <v>99400000</v>
      </c>
      <c r="G67" s="125" t="n">
        <v>11500</v>
      </c>
      <c r="H67" s="126" t="inlineStr">
        <is>
          <t>World Bank benchmarks Afrique sub-Saharienne</t>
        </is>
      </c>
      <c r="I67" s="127" t="inlineStr">
        <is>
          <t>documents1.worldbank.org/curated/en/…</t>
        </is>
      </c>
    </row>
    <row r="68">
      <c r="A68" s="25" t="inlineStr">
        <is>
          <t>Pompe à main India Mark II / Vergnet HPV</t>
        </is>
      </c>
      <c r="B68" s="113" t="inlineStr">
        <is>
          <t>unité</t>
        </is>
      </c>
      <c r="C68" s="114" t="n">
        <v>800</v>
      </c>
      <c r="D68" s="115" t="n">
        <v>1500</v>
      </c>
      <c r="E68" s="116" t="n">
        <v>2500</v>
      </c>
      <c r="F68" s="117" t="n">
        <v>14910000</v>
      </c>
      <c r="G68" s="118" t="n">
        <v>1725</v>
      </c>
      <c r="H68" s="119" t="inlineStr">
        <is>
          <t>Marchés AO (Guinée / Mali / Sénégal)</t>
        </is>
      </c>
      <c r="I68" s="120" t="inlineStr">
        <is>
          <t>watermission.org/wp-content/uploads/…</t>
        </is>
      </c>
    </row>
    <row r="69">
      <c r="A69" s="32" t="inlineStr">
        <is>
          <t>Forage + tubage (20–60m profondeur)</t>
        </is>
      </c>
      <c r="B69" s="85" t="inlineStr">
        <is>
          <t>unité</t>
        </is>
      </c>
      <c r="C69" s="121" t="n">
        <v>5000</v>
      </c>
      <c r="D69" s="122" t="n">
        <v>12000</v>
      </c>
      <c r="E69" s="123" t="n">
        <v>25000</v>
      </c>
      <c r="F69" s="124" t="n">
        <v>119280000</v>
      </c>
      <c r="G69" s="125" t="n">
        <v>13800</v>
      </c>
      <c r="H69" s="126" t="inlineStr">
        <is>
          <t>Afrique Ouest / contexte rural</t>
        </is>
      </c>
      <c r="I69" s="127" t="inlineStr">
        <is>
          <t>documents1.worldbank.org/curated/en/…</t>
        </is>
      </c>
    </row>
    <row r="70"/>
    <row r="71">
      <c r="A71" s="112" t="inlineStr">
        <is>
          <t>▸  SYSTÈME D'ADDUCTION D'EAU POTABLE COMPLET (AEPS) — Coût par village</t>
        </is>
      </c>
      <c r="B71" s="31" t="n"/>
      <c r="C71" s="31" t="n"/>
      <c r="D71" s="31" t="n"/>
      <c r="E71" s="31" t="n"/>
      <c r="F71" s="31" t="n"/>
      <c r="G71" s="31" t="n"/>
      <c r="H71" s="31" t="n"/>
      <c r="I71" s="31" t="n"/>
    </row>
    <row r="72">
      <c r="A72" s="25" t="inlineStr">
        <is>
          <t>AEPS gravitaire 500 habitants (BF seulement)</t>
        </is>
      </c>
      <c r="B72" s="113" t="inlineStr">
        <is>
          <t>système</t>
        </is>
      </c>
      <c r="C72" s="114" t="n">
        <v>40000</v>
      </c>
      <c r="D72" s="115" t="n">
        <v>65000</v>
      </c>
      <c r="E72" s="116" t="n">
        <v>100000</v>
      </c>
      <c r="F72" s="117" t="n">
        <v>646100000</v>
      </c>
      <c r="G72" s="118" t="n">
        <v>74750</v>
      </c>
      <c r="H72" s="119" t="inlineStr">
        <is>
          <t>WASHCost Burkina Faso / Guinée 2019–22</t>
        </is>
      </c>
      <c r="I72" s="120" t="inlineStr">
        <is>
          <t>www.scribd.com/document/522667322/82…</t>
        </is>
      </c>
    </row>
    <row r="73">
      <c r="A73" s="32" t="inlineStr">
        <is>
          <t>AEPS gravitaire 1000 habitants (BF + quelques branchements)</t>
        </is>
      </c>
      <c r="B73" s="85" t="inlineStr">
        <is>
          <t>système</t>
        </is>
      </c>
      <c r="C73" s="121" t="n">
        <v>80000</v>
      </c>
      <c r="D73" s="122" t="n">
        <v>130000</v>
      </c>
      <c r="E73" s="123" t="n">
        <v>200000</v>
      </c>
      <c r="F73" s="124" t="n">
        <v>1292200000</v>
      </c>
      <c r="G73" s="125" t="n">
        <v>149500</v>
      </c>
      <c r="H73" s="126" t="inlineStr">
        <is>
          <t>World Bank AFR WASH Brief 2020</t>
        </is>
      </c>
      <c r="I73" s="127" t="inlineStr">
        <is>
          <t>documents1.worldbank.org/curated/en/…</t>
        </is>
      </c>
    </row>
    <row r="74">
      <c r="A74" s="25" t="inlineStr">
        <is>
          <t>AEPS motorisé 1000 habitants</t>
        </is>
      </c>
      <c r="B74" s="113" t="inlineStr">
        <is>
          <t>système</t>
        </is>
      </c>
      <c r="C74" s="114" t="n">
        <v>100000</v>
      </c>
      <c r="D74" s="115" t="n">
        <v>170000</v>
      </c>
      <c r="E74" s="116" t="n">
        <v>280000</v>
      </c>
      <c r="F74" s="117" t="n">
        <v>1689800000</v>
      </c>
      <c r="G74" s="118" t="n">
        <v>195500</v>
      </c>
      <c r="H74" s="119" t="inlineStr">
        <is>
          <t>World Bank AFR / IRC WASH</t>
        </is>
      </c>
      <c r="I74" s="120" t="inlineStr">
        <is>
          <t>documents1.worldbank.org/curated/en/…</t>
        </is>
      </c>
    </row>
    <row r="75">
      <c r="A75" s="32" t="inlineStr">
        <is>
          <t>Coût par personne desservie (rural AO)</t>
        </is>
      </c>
      <c r="B75" s="85" t="inlineStr">
        <is>
          <t>€/personne</t>
        </is>
      </c>
      <c r="C75" s="121" t="n">
        <v>24</v>
      </c>
      <c r="D75" s="122" t="n">
        <v>80</v>
      </c>
      <c r="E75" s="123" t="n">
        <v>200</v>
      </c>
      <c r="F75" s="124" t="n">
        <v>795200</v>
      </c>
      <c r="G75" s="125" t="n">
        <v>92</v>
      </c>
      <c r="H75" s="126" t="inlineStr">
        <is>
          <t>World Bank AFR WASH Brief — fourchette large</t>
        </is>
      </c>
      <c r="I75" s="127" t="inlineStr">
        <is>
          <t>documents1.worldbank.org/curated/en/…</t>
        </is>
      </c>
    </row>
    <row r="76">
      <c r="A76" s="25" t="inlineStr">
        <is>
          <t>OPEX annuel AEPS (exploitation complète)</t>
        </is>
      </c>
      <c r="B76" s="113" t="inlineStr">
        <is>
          <t>€/an</t>
        </is>
      </c>
      <c r="C76" s="114" t="n">
        <v>3000</v>
      </c>
      <c r="D76" s="115" t="n">
        <v>6000</v>
      </c>
      <c r="E76" s="116" t="n">
        <v>12000</v>
      </c>
      <c r="F76" s="117" t="n">
        <v>59640000</v>
      </c>
      <c r="G76" s="118" t="n">
        <v>6900</v>
      </c>
      <c r="H76" s="119" t="inlineStr">
        <is>
          <t>WASHCost Burkina Faso 2019 (~510 FCFA/m³)</t>
        </is>
      </c>
      <c r="I76" s="120" t="inlineStr">
        <is>
          <t>www.scribd.com/document/522667322/82…</t>
        </is>
      </c>
    </row>
    <row r="77"/>
    <row r="78">
      <c r="A78" s="112" t="inlineStr">
        <is>
          <t>▸  MAIN D'ŒUVRE ET TERRASSEMENT</t>
        </is>
      </c>
      <c r="B78" s="31" t="n"/>
      <c r="C78" s="31" t="n"/>
      <c r="D78" s="31" t="n"/>
      <c r="E78" s="31" t="n"/>
      <c r="F78" s="31" t="n"/>
      <c r="G78" s="31" t="n"/>
      <c r="H78" s="31" t="n"/>
      <c r="I78" s="31" t="n"/>
    </row>
    <row r="79">
      <c r="A79" s="25" t="inlineStr">
        <is>
          <t>Tranchée manuelle sol meuble (inclut remblai)</t>
        </is>
      </c>
      <c r="B79" s="113" t="inlineStr">
        <is>
          <t>m</t>
        </is>
      </c>
      <c r="C79" s="114" t="n">
        <v>3</v>
      </c>
      <c r="D79" s="115" t="n">
        <v>5</v>
      </c>
      <c r="E79" s="116" t="n">
        <v>8</v>
      </c>
      <c r="F79" s="117" t="n">
        <v>49700</v>
      </c>
      <c r="G79" s="118" t="n">
        <v>5.75</v>
      </c>
      <c r="H79" s="119" t="inlineStr">
        <is>
          <t>Guinée / Afrique Ouest — ONG terrain</t>
        </is>
      </c>
      <c r="I79" s="120" t="inlineStr">
        <is>
          <t>watermission.org/wp-content/uploads/…</t>
        </is>
      </c>
    </row>
    <row r="80">
      <c r="A80" s="32" t="inlineStr">
        <is>
          <t>Tranchée sol rocheux</t>
        </is>
      </c>
      <c r="B80" s="85" t="inlineStr">
        <is>
          <t>m</t>
        </is>
      </c>
      <c r="C80" s="121" t="n">
        <v>10</v>
      </c>
      <c r="D80" s="122" t="n">
        <v>16</v>
      </c>
      <c r="E80" s="123" t="n">
        <v>25</v>
      </c>
      <c r="F80" s="124" t="n">
        <v>159040</v>
      </c>
      <c r="G80" s="125" t="n">
        <v>18.4</v>
      </c>
      <c r="H80" s="126" t="inlineStr">
        <is>
          <t>Estimation ingénieur AO</t>
        </is>
      </c>
      <c r="I80" s="127" t="inlineStr">
        <is>
          <t>watermission.org/wp-content/uploads/…</t>
        </is>
      </c>
    </row>
    <row r="81">
      <c r="A81" s="25" t="inlineStr">
        <is>
          <t>MO non qualifiée</t>
        </is>
      </c>
      <c r="B81" s="113" t="inlineStr">
        <is>
          <t>pers./j</t>
        </is>
      </c>
      <c r="C81" s="114" t="n">
        <v>5</v>
      </c>
      <c r="D81" s="115" t="n">
        <v>7</v>
      </c>
      <c r="E81" s="116" t="n">
        <v>10</v>
      </c>
      <c r="F81" s="117" t="n">
        <v>69580</v>
      </c>
      <c r="G81" s="118" t="n">
        <v>8.050000000000001</v>
      </c>
      <c r="H81" s="119" t="inlineStr">
        <is>
          <t>Guinée rurale (salaire journalier)</t>
        </is>
      </c>
      <c r="I81" s="120" t="inlineStr">
        <is>
          <t>watermission.org/wp-content/uploads/…</t>
        </is>
      </c>
    </row>
    <row r="82">
      <c r="A82" s="32" t="inlineStr">
        <is>
          <t>Technicien plombier qualifié</t>
        </is>
      </c>
      <c r="B82" s="85" t="inlineStr">
        <is>
          <t>pers./j</t>
        </is>
      </c>
      <c r="C82" s="121" t="n">
        <v>15</v>
      </c>
      <c r="D82" s="122" t="n">
        <v>22</v>
      </c>
      <c r="E82" s="123" t="n">
        <v>35</v>
      </c>
      <c r="F82" s="124" t="n">
        <v>218680</v>
      </c>
      <c r="G82" s="125" t="n">
        <v>25.3</v>
      </c>
      <c r="H82" s="126" t="inlineStr">
        <is>
          <t>Afrique Ouest — ONG WASH</t>
        </is>
      </c>
      <c r="I82" s="127" t="inlineStr">
        <is>
          <t>www.ircwash.org/resources/costing-ru…</t>
        </is>
      </c>
    </row>
    <row r="83">
      <c r="A83" s="25" t="inlineStr">
        <is>
          <t>Chef de chantier / ingénieur terrain</t>
        </is>
      </c>
      <c r="B83" s="113" t="inlineStr">
        <is>
          <t>pers./j</t>
        </is>
      </c>
      <c r="C83" s="114" t="n">
        <v>40</v>
      </c>
      <c r="D83" s="115" t="n">
        <v>60</v>
      </c>
      <c r="E83" s="116" t="n">
        <v>90</v>
      </c>
      <c r="F83" s="117" t="n">
        <v>596400</v>
      </c>
      <c r="G83" s="118" t="n">
        <v>69</v>
      </c>
      <c r="H83" s="119" t="inlineStr">
        <is>
          <t>Afrique Ouest</t>
        </is>
      </c>
      <c r="I83" s="120" t="inlineStr">
        <is>
          <t>www.ircwash.org/resources/costing-ru…</t>
        </is>
      </c>
    </row>
    <row r="84">
      <c r="A84" s="32" t="inlineStr">
        <is>
          <t>Fontainier / opérateur réseau (mensuel)</t>
        </is>
      </c>
      <c r="B84" s="85" t="inlineStr">
        <is>
          <t>€/mois</t>
        </is>
      </c>
      <c r="C84" s="121" t="n">
        <v>60</v>
      </c>
      <c r="D84" s="122" t="n">
        <v>90</v>
      </c>
      <c r="E84" s="123" t="n">
        <v>140</v>
      </c>
      <c r="F84" s="124" t="n">
        <v>894600</v>
      </c>
      <c r="G84" s="125" t="n">
        <v>103.5</v>
      </c>
      <c r="H84" s="126" t="inlineStr">
        <is>
          <t>Guinée rurale — gestion communautaire</t>
        </is>
      </c>
      <c r="I84" s="127" t="inlineStr">
        <is>
          <t>watermission.org/wp-content/uploads/…</t>
        </is>
      </c>
    </row>
    <row r="85"/>
    <row r="86">
      <c r="A86" s="112" t="inlineStr">
        <is>
          <t>▸  CHLORATION ET TRAITEMENT DE L'EAU</t>
        </is>
      </c>
      <c r="B86" s="31" t="n"/>
      <c r="C86" s="31" t="n"/>
      <c r="D86" s="31" t="n"/>
      <c r="E86" s="31" t="n"/>
      <c r="F86" s="31" t="n"/>
      <c r="G86" s="31" t="n"/>
      <c r="H86" s="31" t="n"/>
      <c r="I86" s="31" t="n"/>
    </row>
    <row r="87">
      <c r="A87" s="25" t="inlineStr">
        <is>
          <t>Chlorateur gravitaire (pot chlore)</t>
        </is>
      </c>
      <c r="B87" s="113" t="inlineStr">
        <is>
          <t>unité</t>
        </is>
      </c>
      <c r="C87" s="114" t="n">
        <v>280</v>
      </c>
      <c r="D87" s="115" t="n">
        <v>480</v>
      </c>
      <c r="E87" s="116" t="n">
        <v>750</v>
      </c>
      <c r="F87" s="117" t="n">
        <v>4771200</v>
      </c>
      <c r="G87" s="118" t="n">
        <v>552</v>
      </c>
      <c r="H87" s="119" t="inlineStr">
        <is>
          <t>IRC / UNICEF WASH Supply 2022</t>
        </is>
      </c>
      <c r="I87" s="120" t="inlineStr">
        <is>
          <t>www.unicef.org/supply/index_24787.ht…</t>
        </is>
      </c>
    </row>
    <row r="88">
      <c r="A88" s="32" t="inlineStr">
        <is>
          <t>HTH chlore granulé 70% (seau 45 kg)</t>
        </is>
      </c>
      <c r="B88" s="85" t="inlineStr">
        <is>
          <t>kg</t>
        </is>
      </c>
      <c r="C88" s="121" t="n">
        <v>4</v>
      </c>
      <c r="D88" s="122" t="n">
        <v>6</v>
      </c>
      <c r="E88" s="123" t="n">
        <v>9</v>
      </c>
      <c r="F88" s="124" t="n">
        <v>59640</v>
      </c>
      <c r="G88" s="125" t="n">
        <v>6.9</v>
      </c>
      <c r="H88" s="126" t="inlineStr">
        <is>
          <t>Marchés Afrique Ouest / import</t>
        </is>
      </c>
      <c r="I88" s="127" t="inlineStr">
        <is>
          <t>www.alibaba.com/showroom/calcium-hyp…</t>
        </is>
      </c>
    </row>
    <row r="89">
      <c r="A89" s="25" t="inlineStr">
        <is>
          <t>Hypochlorite sodium 12% (bidon 25L)</t>
        </is>
      </c>
      <c r="B89" s="113" t="inlineStr">
        <is>
          <t>L</t>
        </is>
      </c>
      <c r="C89" s="114" t="n">
        <v>0.4</v>
      </c>
      <c r="D89" s="115" t="n">
        <v>0.7</v>
      </c>
      <c r="E89" s="116" t="n">
        <v>1.2</v>
      </c>
      <c r="F89" s="117" t="n">
        <v>6958</v>
      </c>
      <c r="G89" s="118" t="n">
        <v>0.8</v>
      </c>
      <c r="H89" s="119" t="inlineStr">
        <is>
          <t>Guinée / marchés locaux</t>
        </is>
      </c>
      <c r="I89" s="120" t="inlineStr">
        <is>
          <t>www.alibaba.com/showroom/sodium-hypo…</t>
        </is>
      </c>
    </row>
    <row r="90">
      <c r="A90" s="32" t="inlineStr">
        <is>
          <t>Kit analyse chlore résiduel (terrain)</t>
        </is>
      </c>
      <c r="B90" s="85" t="inlineStr">
        <is>
          <t>kit</t>
        </is>
      </c>
      <c r="C90" s="121" t="n">
        <v>50</v>
      </c>
      <c r="D90" s="122" t="n">
        <v>80</v>
      </c>
      <c r="E90" s="123" t="n">
        <v>130</v>
      </c>
      <c r="F90" s="124" t="n">
        <v>795200</v>
      </c>
      <c r="G90" s="125" t="n">
        <v>92</v>
      </c>
      <c r="H90" s="126" t="inlineStr">
        <is>
          <t>UNICEF / IRC WASH</t>
        </is>
      </c>
      <c r="I90" s="127" t="inlineStr">
        <is>
          <t>www.unicef.org/supply/index_24787.ht…</t>
        </is>
      </c>
    </row>
    <row r="91">
      <c r="A91" s="25" t="inlineStr">
        <is>
          <t>Consommation chlore annuelle (37m³/j)</t>
        </is>
      </c>
      <c r="B91" s="113" t="inlineStr">
        <is>
          <t>€/an</t>
        </is>
      </c>
      <c r="C91" s="114" t="n">
        <v>150</v>
      </c>
      <c r="D91" s="115" t="n">
        <v>300</v>
      </c>
      <c r="E91" s="116" t="n">
        <v>500</v>
      </c>
      <c r="F91" s="117" t="n">
        <v>2982000</v>
      </c>
      <c r="G91" s="118" t="n">
        <v>345</v>
      </c>
      <c r="H91" s="119" t="inlineStr">
        <is>
          <t>Calcul dosage 0.3 mg/L</t>
        </is>
      </c>
      <c r="I91" s="120" t="inlineStr">
        <is>
          <t>www.ircwash.org/resources/costing-ru…</t>
        </is>
      </c>
    </row>
    <row r="92"/>
    <row r="93"/>
    <row r="94">
      <c r="A94" s="128" t="inlineStr">
        <is>
          <t>⚠  NOTE IMPORTANTE : Tous les prix sont des ESTIMATIONS benchmarks Afrique de l'Ouest (non vérifiés spécifiquement en Guinée faute de sources publiques disponibles). Statut : 🟡 Benchmark AO. Incertitude : ±30 %. À VALIDER avec encadrant ou fournisseur local (SNAPE, DNH Guinée) avant soumission définitive. Conversions : 1 € = 9 940 GNF | 1 € = 1.15 USD | 1 € = 656 XOF.</t>
        </is>
      </c>
      <c r="B94" s="129" t="n"/>
      <c r="C94" s="129" t="n"/>
      <c r="D94" s="129" t="n"/>
      <c r="E94" s="129" t="n"/>
      <c r="F94" s="129" t="n"/>
      <c r="G94" s="129" t="n"/>
      <c r="H94" s="129" t="n"/>
      <c r="I94" s="129" t="n"/>
    </row>
  </sheetData>
  <mergeCells count="14">
    <mergeCell ref="A52:I52"/>
    <mergeCell ref="A25:I25"/>
    <mergeCell ref="A19:I19"/>
    <mergeCell ref="A2:I2"/>
    <mergeCell ref="A71:I71"/>
    <mergeCell ref="A32:I32"/>
    <mergeCell ref="A13:I13"/>
    <mergeCell ref="A44:I44"/>
    <mergeCell ref="A94:I94"/>
    <mergeCell ref="A1:I1"/>
    <mergeCell ref="A61:I61"/>
    <mergeCell ref="A4:I4"/>
    <mergeCell ref="A78:I78"/>
    <mergeCell ref="A86:I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2026-06-11T22:29:56Z</dcterms:created>
  <dcterms:modified xsi:type="dcterms:W3CDTF">2026-06-11T22:29:58Z</dcterms:modified>
</cp:coreProperties>
</file>